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namedSheetViews/namedSheetView1.xml" ContentType="application/vnd.ms-excel.namedsheetview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mc:AlternateContent xmlns:mc="http://schemas.openxmlformats.org/markup-compatibility/2006">
    <mc:Choice Requires="x15">
      <x15ac:absPath xmlns:x15ac="http://schemas.microsoft.com/office/spreadsheetml/2010/11/ac" url="https://d.docs.live.net/fe0e69aeb448a87c/Documents/Chandrika/Makers Lab/AI Based Deal Win Probability/POC - Probability Tool/base-data/"/>
    </mc:Choice>
  </mc:AlternateContent>
  <xr:revisionPtr revIDLastSave="7" documentId="8_{5249DB05-82B7-474F-B584-DB29737E2320}" xr6:coauthVersionLast="47" xr6:coauthVersionMax="47" xr10:uidLastSave="{B161BD16-C240-4AB6-875C-82F4F7523AF4}"/>
  <bookViews>
    <workbookView xWindow="-110" yWindow="-110" windowWidth="19420" windowHeight="10300" tabRatio="679" activeTab="1" xr2:uid="{00000000-000D-0000-FFFF-FFFF00000000}"/>
  </bookViews>
  <sheets>
    <sheet name="List of win-loss factors" sheetId="5" r:id="rId1"/>
    <sheet name="Template" sheetId="13" r:id="rId2"/>
    <sheet name="SST Involved WLA_02.07.24" sheetId="4" state="hidden" r:id="rId3"/>
  </sheets>
  <externalReferences>
    <externalReference r:id="rId4"/>
  </externalReferences>
  <definedNames>
    <definedName name="_xlnm._FilterDatabase" localSheetId="1" hidden="1">Template!$B$2:$AC$2</definedName>
    <definedName name="Capability_or_Credentials">'List of win-loss factors'!$C$3:$C$14</definedName>
    <definedName name="Commercials">'List of win-loss factors'!$D$3:$D$12</definedName>
    <definedName name="Relationship">'List of win-loss factors'!$A$3:$A$14</definedName>
    <definedName name="Solution">'List of win-loss factors'!$B$3:$B$14</definedName>
    <definedName name="Strategic_Initiatives">'List of win-loss factors'!$E$3:$E$13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54" i="13" l="1"/>
  <c r="J55" i="13"/>
  <c r="J56" i="13"/>
  <c r="J57" i="13"/>
  <c r="J58" i="13"/>
  <c r="J59" i="13"/>
  <c r="J60" i="13"/>
  <c r="J61" i="13"/>
  <c r="J62" i="13"/>
  <c r="J63" i="13"/>
  <c r="J64" i="13"/>
  <c r="J65" i="13"/>
  <c r="J66" i="13"/>
  <c r="J67" i="13"/>
  <c r="J68" i="13"/>
  <c r="J69" i="13"/>
  <c r="J70" i="13"/>
  <c r="J53" i="13"/>
  <c r="J33" i="13"/>
  <c r="J34" i="13"/>
  <c r="J35" i="13"/>
  <c r="J36" i="13"/>
  <c r="J37" i="13"/>
  <c r="J32" i="13"/>
  <c r="J44" i="13"/>
  <c r="J45" i="13"/>
  <c r="J46" i="13"/>
  <c r="J47" i="13"/>
  <c r="J48" i="13"/>
  <c r="J49" i="13"/>
  <c r="J50" i="13"/>
  <c r="J51" i="13"/>
  <c r="J52" i="13"/>
  <c r="J19" i="13"/>
  <c r="J20" i="13"/>
  <c r="J21" i="13"/>
  <c r="J22" i="13"/>
  <c r="J23" i="13"/>
  <c r="J24" i="13"/>
  <c r="J25" i="13"/>
  <c r="J26" i="13"/>
  <c r="J27" i="13"/>
  <c r="J28" i="13"/>
  <c r="J29" i="13"/>
  <c r="J30" i="13"/>
  <c r="J31" i="13"/>
  <c r="J39" i="13"/>
  <c r="J40" i="13"/>
  <c r="J41" i="13"/>
  <c r="J42" i="13"/>
  <c r="J43" i="13"/>
  <c r="J18" i="13"/>
  <c r="J17" i="13"/>
  <c r="J4" i="13"/>
  <c r="J5" i="13"/>
  <c r="J6" i="13"/>
  <c r="J7" i="13"/>
  <c r="J8" i="13"/>
  <c r="J9" i="13"/>
  <c r="J10" i="13"/>
  <c r="J11" i="13"/>
  <c r="J12" i="13"/>
  <c r="J13" i="13"/>
  <c r="J14" i="13"/>
  <c r="J15" i="13"/>
  <c r="J16" i="13"/>
  <c r="J3" i="13"/>
  <c r="I4" i="13"/>
  <c r="I5" i="13"/>
  <c r="I6" i="13"/>
  <c r="I7" i="13"/>
  <c r="I8" i="13"/>
  <c r="I9" i="13"/>
  <c r="I10" i="13"/>
  <c r="I11" i="13"/>
  <c r="I12" i="13"/>
  <c r="I13" i="13"/>
  <c r="I14" i="13"/>
  <c r="I15" i="13"/>
  <c r="I16" i="13"/>
  <c r="I17" i="13"/>
  <c r="I18" i="13"/>
  <c r="I19" i="13"/>
  <c r="I20" i="13"/>
  <c r="I21" i="13"/>
  <c r="I22" i="13"/>
  <c r="I23" i="13"/>
  <c r="I24" i="13"/>
  <c r="I25" i="13"/>
  <c r="I26" i="13"/>
  <c r="I27" i="13"/>
  <c r="I28" i="13"/>
  <c r="I29" i="13"/>
  <c r="I30" i="13"/>
  <c r="I31" i="13"/>
  <c r="I32" i="13"/>
  <c r="I33" i="13"/>
  <c r="I34" i="13"/>
  <c r="I35" i="13"/>
  <c r="I36" i="13"/>
  <c r="I37" i="13"/>
  <c r="I38" i="13"/>
  <c r="I39" i="13"/>
  <c r="I40" i="13"/>
  <c r="I41" i="13"/>
  <c r="I42" i="13"/>
  <c r="I43" i="13"/>
  <c r="I44" i="13"/>
  <c r="I45" i="13"/>
  <c r="I46" i="13"/>
  <c r="I47" i="13"/>
  <c r="I48" i="13"/>
  <c r="I49" i="13"/>
  <c r="I50" i="13"/>
  <c r="I51" i="13"/>
  <c r="I52" i="13"/>
  <c r="I53" i="13"/>
  <c r="I54" i="13"/>
  <c r="I55" i="13"/>
  <c r="I56" i="13"/>
  <c r="I57" i="13"/>
  <c r="I58" i="13"/>
  <c r="I59" i="13"/>
  <c r="I60" i="13"/>
  <c r="I61" i="13"/>
  <c r="I62" i="13"/>
  <c r="I63" i="13"/>
  <c r="I64" i="13"/>
  <c r="I65" i="13"/>
  <c r="I66" i="13"/>
  <c r="I67" i="13"/>
  <c r="I68" i="13"/>
  <c r="I69" i="13"/>
  <c r="I70" i="13"/>
  <c r="I3" i="13"/>
  <c r="G54" i="4" l="1"/>
  <c r="G37" i="4"/>
  <c r="Q21" i="4"/>
  <c r="G21" i="4"/>
  <c r="T13" i="4"/>
  <c r="T10" i="4"/>
  <c r="T9" i="4"/>
  <c r="Q8" i="4"/>
  <c r="G8" i="4"/>
  <c r="U5" i="4"/>
  <c r="U6" i="4" s="1"/>
  <c r="T5" i="4"/>
  <c r="T4" i="4"/>
  <c r="T3" i="4"/>
  <c r="T6" i="4" s="1"/>
  <c r="T14" i="4" l="1"/>
</calcChain>
</file>

<file path=xl/sharedStrings.xml><?xml version="1.0" encoding="utf-8"?>
<sst xmlns="http://schemas.openxmlformats.org/spreadsheetml/2006/main" count="1235" uniqueCount="507">
  <si>
    <t>Relationship</t>
  </si>
  <si>
    <t>Solution</t>
  </si>
  <si>
    <t>Commercials</t>
  </si>
  <si>
    <t>CRM ID</t>
  </si>
  <si>
    <t>SBU</t>
  </si>
  <si>
    <t xml:space="preserve">TCV ($Mn) </t>
  </si>
  <si>
    <t>EA</t>
  </si>
  <si>
    <t>BM</t>
  </si>
  <si>
    <t>Q4'24</t>
  </si>
  <si>
    <t>Kiran Kumar SB</t>
  </si>
  <si>
    <t>TME</t>
  </si>
  <si>
    <t>Anupam Jaiswal</t>
  </si>
  <si>
    <t>ASV</t>
  </si>
  <si>
    <t>Konark Bhasin</t>
  </si>
  <si>
    <t>Awani X</t>
  </si>
  <si>
    <t>Prasit Kumar Dash</t>
  </si>
  <si>
    <t>Divyam Vikash</t>
  </si>
  <si>
    <t>Ajay Surana</t>
  </si>
  <si>
    <t>Amiya Jain</t>
  </si>
  <si>
    <t>Arpan Bhowmik</t>
  </si>
  <si>
    <t>Mitesh Kumar</t>
  </si>
  <si>
    <t>Nancy Arockiam</t>
  </si>
  <si>
    <t>EA Driven</t>
  </si>
  <si>
    <t>Sathiya</t>
  </si>
  <si>
    <t>Kaushik Sirole</t>
  </si>
  <si>
    <t>APJ</t>
  </si>
  <si>
    <t>Srinivasa V Rao</t>
  </si>
  <si>
    <t>Mukund Adapala</t>
  </si>
  <si>
    <t>Karthik Kalusalingam</t>
  </si>
  <si>
    <t>Europe</t>
  </si>
  <si>
    <t>DNB</t>
  </si>
  <si>
    <t>Application Services Outsourcing</t>
  </si>
  <si>
    <t>GSK Global</t>
  </si>
  <si>
    <t>KESKO OYJ</t>
  </si>
  <si>
    <t>Forerunner IT Outsourcing</t>
  </si>
  <si>
    <t>Blue Shield of California</t>
  </si>
  <si>
    <t>BSC Cloud Transformation FY 23 - FY 27</t>
  </si>
  <si>
    <t>McDonald's Restaurants Ltd</t>
  </si>
  <si>
    <t>Managed Service Operations</t>
  </si>
  <si>
    <t>Cadent Gas</t>
  </si>
  <si>
    <t>IT Support &amp; Maintenance</t>
  </si>
  <si>
    <t>CUMMINS INC</t>
  </si>
  <si>
    <t>Cummins - IT Application Managed Services 2024</t>
  </si>
  <si>
    <t>IMEA</t>
  </si>
  <si>
    <t>First Abu Dhabi Bank( Bank FAB)</t>
  </si>
  <si>
    <t>Infra MSS</t>
  </si>
  <si>
    <t>Etihad Airways</t>
  </si>
  <si>
    <t>EY - Future Mode of Operations</t>
  </si>
  <si>
    <t>Nationwide Building Society</t>
  </si>
  <si>
    <t>MS On-Prem Infra and Networks</t>
  </si>
  <si>
    <t>Account Name</t>
  </si>
  <si>
    <t>Opportunity Name</t>
  </si>
  <si>
    <t xml:space="preserve">Expected TCV ($Mn) </t>
  </si>
  <si>
    <t>Deal Director</t>
  </si>
  <si>
    <t>EA &amp; Solutioning Team</t>
  </si>
  <si>
    <t>EA &amp; Origination Team</t>
  </si>
  <si>
    <t>ADMSNXT Team</t>
  </si>
  <si>
    <t>Transiton Team</t>
  </si>
  <si>
    <t>Pursuit Excellence Team</t>
  </si>
  <si>
    <t>Opportunity Owner</t>
  </si>
  <si>
    <t>Bid Manager</t>
  </si>
  <si>
    <t>CRM Sales Stage</t>
  </si>
  <si>
    <t>CRM TCV</t>
  </si>
  <si>
    <t>Q1'25 Wins</t>
  </si>
  <si>
    <t>MOHRE</t>
  </si>
  <si>
    <t>Setup of MOHRE’s Service Delivery Platform &amp; Data Migration / Development of Services &amp; Processes</t>
  </si>
  <si>
    <t>Rohit Nandi</t>
  </si>
  <si>
    <t>P4</t>
  </si>
  <si>
    <t>TCV</t>
  </si>
  <si>
    <t>#</t>
  </si>
  <si>
    <t>Project Lotus</t>
  </si>
  <si>
    <t>Project Lotus - Outsource</t>
  </si>
  <si>
    <t>Sugata Chakraborty</t>
  </si>
  <si>
    <t>Ashish Kumar</t>
  </si>
  <si>
    <t>Sridhar Narella, Anupam Jaiswal</t>
  </si>
  <si>
    <t>Shruti Bisht</t>
  </si>
  <si>
    <t>Mayank R Sharma</t>
  </si>
  <si>
    <t>Vipul Sinha</t>
  </si>
  <si>
    <t>P5</t>
  </si>
  <si>
    <t>W</t>
  </si>
  <si>
    <t>Majid Al Futtaim GS_UAE</t>
  </si>
  <si>
    <t>MAF Global Solutions - Integrated Managed Services</t>
  </si>
  <si>
    <t>SUNNY TAPADAR</t>
  </si>
  <si>
    <t>L</t>
  </si>
  <si>
    <t>Hitachi Astemo</t>
  </si>
  <si>
    <t>SAP Implementation for Wave 0 - TOPPAKO</t>
  </si>
  <si>
    <t>R Aravindh Kumaran</t>
  </si>
  <si>
    <t>Rajendra Choudhary</t>
  </si>
  <si>
    <t>W + L</t>
  </si>
  <si>
    <t>Caldic</t>
  </si>
  <si>
    <t>Caldic Managed IT Services</t>
  </si>
  <si>
    <t>Ganesh/Tarun Khurana</t>
  </si>
  <si>
    <t>Karan Sainath</t>
  </si>
  <si>
    <t>Nirmalkumar Sanakaran</t>
  </si>
  <si>
    <t>Sachin Sharma</t>
  </si>
  <si>
    <t>W/ (W + L)</t>
  </si>
  <si>
    <t xml:space="preserve">Europe </t>
  </si>
  <si>
    <t>TBC</t>
  </si>
  <si>
    <t>HSBC</t>
  </si>
  <si>
    <t>Avaloq Core Platform PaaS</t>
  </si>
  <si>
    <t>Tarun Khurana</t>
  </si>
  <si>
    <t>Madhukar Sharma</t>
  </si>
  <si>
    <t>Tanvi Bansal</t>
  </si>
  <si>
    <t>A</t>
  </si>
  <si>
    <t>H</t>
  </si>
  <si>
    <t>Q1'25 Losses</t>
  </si>
  <si>
    <t>Mahesh W</t>
  </si>
  <si>
    <t>Mayur Katiyar</t>
  </si>
  <si>
    <t>P-3</t>
  </si>
  <si>
    <t>Suruchi</t>
  </si>
  <si>
    <t>KK Ebs</t>
  </si>
  <si>
    <t>NA</t>
  </si>
  <si>
    <t>Kesava Vemulamanda</t>
  </si>
  <si>
    <t>Srirama Challa</t>
  </si>
  <si>
    <t>P0</t>
  </si>
  <si>
    <t>Sravan Kumar Susarla</t>
  </si>
  <si>
    <t>Sunil Nair / Prashanth GS</t>
  </si>
  <si>
    <t>Sindhuja Gupta</t>
  </si>
  <si>
    <t>Ilkka Kivi</t>
  </si>
  <si>
    <t>Sriram Jayaraman1</t>
  </si>
  <si>
    <t>W + L + A</t>
  </si>
  <si>
    <t xml:space="preserve">Raghavendra  Kshatriya </t>
  </si>
  <si>
    <t>Pradeep K R
Harish Kolekar</t>
  </si>
  <si>
    <t>Onjwel</t>
  </si>
  <si>
    <t>Girish Ramiah</t>
  </si>
  <si>
    <t>Pranav Pravin</t>
  </si>
  <si>
    <t>W/ 
(W + L + A)</t>
  </si>
  <si>
    <t>Karthik Kashyap</t>
  </si>
  <si>
    <t>Nandu + Sathiya</t>
  </si>
  <si>
    <t>Trinadha Grandhi</t>
  </si>
  <si>
    <t>Arif Mudgal</t>
  </si>
  <si>
    <t>P-1</t>
  </si>
  <si>
    <t>Bhoomi Patel</t>
  </si>
  <si>
    <t>Alison Dickson</t>
  </si>
  <si>
    <t>Sutheeb K</t>
  </si>
  <si>
    <t xml:space="preserve"> Kaushik Sirole, Anupam Jaiswal</t>
  </si>
  <si>
    <t>Shailesh Gosavi</t>
  </si>
  <si>
    <t>Gokulnath S</t>
  </si>
  <si>
    <t>Vishal Sharma</t>
  </si>
  <si>
    <t>P-2</t>
  </si>
  <si>
    <t>Vivek Khandelwal</t>
  </si>
  <si>
    <t>Preeti Bhonsle</t>
  </si>
  <si>
    <t>Bhini Yadav</t>
  </si>
  <si>
    <t>Q1'25 Aborts</t>
  </si>
  <si>
    <t>Department of Home Affairs, Australia</t>
  </si>
  <si>
    <t>Future Compute RFT</t>
  </si>
  <si>
    <t>Ganesh P &amp; Arun P</t>
  </si>
  <si>
    <t>Sridhar Narella</t>
  </si>
  <si>
    <t>Simon White</t>
  </si>
  <si>
    <t>Gaurav Malik1</t>
  </si>
  <si>
    <t>A Comms</t>
  </si>
  <si>
    <t>Ingram Micro Inc.</t>
  </si>
  <si>
    <t>Impulse Infra Managed Services</t>
  </si>
  <si>
    <t>Srishti Dhawan</t>
  </si>
  <si>
    <t>Raj Shekhar</t>
  </si>
  <si>
    <t>Sumeet Dhananjay Joshi</t>
  </si>
  <si>
    <t>Ring Central</t>
  </si>
  <si>
    <t>Q2 LD SPRINT- Ring Central Manila Support Center</t>
  </si>
  <si>
    <t>Manas Tushar Sampat</t>
  </si>
  <si>
    <t>Vaibhav Mawinkatti</t>
  </si>
  <si>
    <t>Western Digital Corporation</t>
  </si>
  <si>
    <t>BPI Testing-as-a-service</t>
  </si>
  <si>
    <t>Kumaresh Das</t>
  </si>
  <si>
    <t>Rudra Sayak Sardar</t>
  </si>
  <si>
    <t>du (eitc)</t>
  </si>
  <si>
    <t>ADMS</t>
  </si>
  <si>
    <t>Sumallo</t>
  </si>
  <si>
    <t>Saurabh Nandavar</t>
  </si>
  <si>
    <t>Nitish Taneja</t>
  </si>
  <si>
    <t>Jayshree S Karandikar</t>
  </si>
  <si>
    <t>IKEA NL HQ</t>
  </si>
  <si>
    <t>ITO Vendor Consolidation | Rate card</t>
  </si>
  <si>
    <t>MSC Cruises</t>
  </si>
  <si>
    <t>Project XOM</t>
  </si>
  <si>
    <t>Abhijit Das</t>
  </si>
  <si>
    <t>Llyods Bank</t>
  </si>
  <si>
    <t>LBGPersonal Loans</t>
  </si>
  <si>
    <t>Aman Pandey</t>
  </si>
  <si>
    <t>Sridhar YV</t>
  </si>
  <si>
    <t>Majid Al Futtaim Hypermarkets LLC</t>
  </si>
  <si>
    <t>MAF Retail - Infra Managed Services</t>
  </si>
  <si>
    <t>RS Components</t>
  </si>
  <si>
    <t>IT&amp;O FOM</t>
  </si>
  <si>
    <t>Bhoomi + Suruchi</t>
  </si>
  <si>
    <t>Nandu / Sunil N &amp; Parag S</t>
  </si>
  <si>
    <t>Aditi Sarao</t>
  </si>
  <si>
    <t>Sreenidhi G K</t>
  </si>
  <si>
    <t>StarHub</t>
  </si>
  <si>
    <t>Devops ADMS</t>
  </si>
  <si>
    <t>Arun, Anirudha</t>
  </si>
  <si>
    <t>Ravi</t>
  </si>
  <si>
    <t>Vishal</t>
  </si>
  <si>
    <t>Vorwerk Services GmbH</t>
  </si>
  <si>
    <t>Vorwerk _Sourcing 2025</t>
  </si>
  <si>
    <t>Suren</t>
  </si>
  <si>
    <t>Vijay Hassan</t>
  </si>
  <si>
    <r>
      <rPr>
        <b/>
        <sz val="11"/>
        <color rgb="FF000000"/>
        <rFont val="Calibri"/>
        <family val="2"/>
        <scheme val="minor"/>
      </rPr>
      <t xml:space="preserve">Western Australian Land Information Authority </t>
    </r>
    <r>
      <rPr>
        <sz val="11"/>
        <color rgb="FF000000"/>
        <rFont val="Calibri"/>
        <family val="2"/>
        <scheme val="minor"/>
      </rPr>
      <t>- Apps</t>
    </r>
  </si>
  <si>
    <t>Landgate - Applications Support</t>
  </si>
  <si>
    <t>Vikash Ranjan</t>
  </si>
  <si>
    <t>Amitabh Awasthi</t>
  </si>
  <si>
    <t>Deals on Hold 02.07.24</t>
  </si>
  <si>
    <t>SAP Implementation for Wave 0 to WAVE 3 - TOPPAKO</t>
  </si>
  <si>
    <t>AB-CMO/Product</t>
  </si>
  <si>
    <t>Yosemite - IBM SCOPE</t>
  </si>
  <si>
    <t xml:space="preserve">Raghavendra  Kshatriya, Deodatta </t>
  </si>
  <si>
    <t>Amit Kumar</t>
  </si>
  <si>
    <t>Rahul Singh</t>
  </si>
  <si>
    <t>Multiple</t>
  </si>
  <si>
    <t>EMEA BFSI Top 20</t>
  </si>
  <si>
    <t>20 deals - HSBC, Santander, State Street, etc.</t>
  </si>
  <si>
    <t>Gowrishankar Maddala</t>
  </si>
  <si>
    <t>Pankaj Kulkarni</t>
  </si>
  <si>
    <t>FIFA</t>
  </si>
  <si>
    <t>Global Technology Consolidation</t>
  </si>
  <si>
    <t>Deepti Agarwal</t>
  </si>
  <si>
    <t>Ankit Dangwal</t>
  </si>
  <si>
    <t>Government Employees Medical Scheme</t>
  </si>
  <si>
    <t>Core Information Management System</t>
  </si>
  <si>
    <t>QE - Rajath Cherukat Ravindran</t>
  </si>
  <si>
    <t>Vishal Narayan Sinha</t>
  </si>
  <si>
    <t>Mitsui Knowledge Industry</t>
  </si>
  <si>
    <t>Non-Core Business Support Services ( Rebadging -Phase wise targeting 250 People)</t>
  </si>
  <si>
    <t>S</t>
  </si>
  <si>
    <t>Laneesh Vazhayil Putur</t>
  </si>
  <si>
    <t>Sanjay Adani</t>
  </si>
  <si>
    <t>Optus Australia</t>
  </si>
  <si>
    <t>Project Cerberus</t>
  </si>
  <si>
    <t>Arindam ( Gsol)</t>
  </si>
  <si>
    <t>Nikita Ahuja</t>
  </si>
  <si>
    <t>Rupali Ashok Thakre</t>
  </si>
  <si>
    <t>Rakuten Mobile Inc.</t>
  </si>
  <si>
    <t>Unified BSS using BM</t>
  </si>
  <si>
    <t>Anuraj Singh</t>
  </si>
  <si>
    <t>Kailash Chandra1</t>
  </si>
  <si>
    <t>Specialized Bicycle Components Inc</t>
  </si>
  <si>
    <t>Specialized - Evergreen</t>
  </si>
  <si>
    <t>Sutheebh K</t>
  </si>
  <si>
    <t>QE - Krishnachaitanya Akella</t>
  </si>
  <si>
    <t>Yashna Chhabra</t>
  </si>
  <si>
    <t>Maninder Pal Singh</t>
  </si>
  <si>
    <t>Sumedha Yogesh</t>
  </si>
  <si>
    <t>TELUS</t>
  </si>
  <si>
    <t>TELUS - Beluga RFP</t>
  </si>
  <si>
    <t>Deodatta</t>
  </si>
  <si>
    <t>Shazaib Shaikh</t>
  </si>
  <si>
    <t>Arundhati Shinde</t>
  </si>
  <si>
    <t>TBD2</t>
  </si>
  <si>
    <t>United Bank of Africa</t>
  </si>
  <si>
    <t>Strategic Partnership - Heirs Technologies &amp; UBA</t>
  </si>
  <si>
    <t>Vishal Iyer</t>
  </si>
  <si>
    <t>Verizon Business (VBG)</t>
  </si>
  <si>
    <t>Connect E2E Carve-out</t>
  </si>
  <si>
    <t>Sudarshan Chaco</t>
  </si>
  <si>
    <t>Michael Hogan</t>
  </si>
  <si>
    <r>
      <rPr>
        <b/>
        <sz val="11"/>
        <color rgb="FF000000"/>
        <rFont val="Calibri"/>
        <family val="2"/>
        <scheme val="minor"/>
      </rPr>
      <t>Western Australian Land Information Authority</t>
    </r>
    <r>
      <rPr>
        <sz val="11"/>
        <color rgb="FF000000"/>
        <rFont val="Calibri"/>
        <family val="2"/>
        <scheme val="minor"/>
      </rPr>
      <t xml:space="preserve"> - Infra</t>
    </r>
  </si>
  <si>
    <t>Landgate - Infra</t>
  </si>
  <si>
    <t xml:space="preserve">Arun </t>
  </si>
  <si>
    <t>Liberty Global Services B.V.</t>
  </si>
  <si>
    <t>Business Transformation across LG OPCOs</t>
  </si>
  <si>
    <t>F. Hoffmann La Roche AG, Pharmaceutical Division</t>
  </si>
  <si>
    <t>Sites Services &amp; Employee Enablement Domain Delivery - RFI</t>
  </si>
  <si>
    <t>First Abu Dhabi Bank(Bank FAB)</t>
  </si>
  <si>
    <t>Lakshmi Kocherlakota</t>
  </si>
  <si>
    <t>Tarun Khurana + Mahesh</t>
  </si>
  <si>
    <t>Arun Kumar Aluguri</t>
  </si>
  <si>
    <t>Timothy Scheifele</t>
  </si>
  <si>
    <t>Mayur Shrikrishna Shendge</t>
  </si>
  <si>
    <t>Shubhrajit Das</t>
  </si>
  <si>
    <t>Business value proposition</t>
  </si>
  <si>
    <t>Orals Performance</t>
  </si>
  <si>
    <t>Availability of SMEs</t>
  </si>
  <si>
    <t>Nikhil/ Divyam</t>
  </si>
  <si>
    <t>Despite TechM’s strong social value response, scoring high in that area, the partnership model with Enzen, known as TeamZen, lacked strong references, leading to client reservations. The technical solution received average marks as some responses did not fully meet requirements. On the commercial side, the flexible model scored low due to a lack of comprehensive licensing details, missing architecture diagrams for target states, and insufficient detail on costs and timelines, specifically related to the SAP tower. Additionally, Cadent did not provide qualitative feedback on the general commercial scores.</t>
  </si>
  <si>
    <t>Orange</t>
  </si>
  <si>
    <t>Orange Business Newco</t>
  </si>
  <si>
    <t>Technical solution was good. We were better than Infosys in Network proposal. Price wise we offered more savings (41% savings) than Infosys (36% savings). However Infosys had strong stakeholder connect at each Opco... from department head to CIO and CEO while we were only talking to Group CIO who was not a decision maker. So all the Opcos voted in favor of Infosys and strategically going for full deal, without all opco relationship was an issue</t>
  </si>
  <si>
    <t>We had a long shot and Tieto with deep incumbency was better placed.  Lack of local presence in Nordics/Finnish market was a big deterrent for client. Also our Pricing was higher and we did not have enough relationship/coaching to get intelligence on their spend.</t>
  </si>
  <si>
    <t>Response to our RFI was good, but they bought in Gartner to help them shortlist vendors for RFP and they were looking for vendors who can provide end to end DWP services worldwide. As an org we couldn’t show case studies at the same scale and this was a missing capability gap</t>
  </si>
  <si>
    <t>Least experience with BSC applications against competition
Inadequate understanding of BSC ecosystem (complexity of release Management, cutover etc) leading to some of the solution assumptions being incorrect
Competition had mature tooling and IP ecosystems.</t>
  </si>
  <si>
    <t xml:space="preserve">	
We lost the deal despite having highly competitive commercials and strong defense capabilities, with consistent workshop participation.
The negatives included our initial pitch for managed services instead of their preferred co-managed services, new staffing concerns in Norway.
Although leadership support was strong, the decision was consensus-based, and we narrowly missed out due to a consolidated score, likely losing to vendors with significant BFSI Norway presence, such as CapG or Accenture. Nearshore capability, like our Riga proposal, was not a key evaluation criterion</t>
  </si>
  <si>
    <t>We were verbally assured that we were the frontrunner for the deal. However, the order was delayed due to the customer needing regulatory approvals. Competition ultimately secured the deal despite strong stakeholder relationship as well as showing people readiness. Few client reasons still unknown and can be attributed to a potential better client connect by competition.</t>
  </si>
  <si>
    <t>GE Aircraft Engine Services Limited</t>
  </si>
  <si>
    <t>GE Aerospace - Large Deal FY25 DWP</t>
  </si>
  <si>
    <t>Sutheebh K + Prashanth GS</t>
  </si>
  <si>
    <t>Raja Naveen Kosuri</t>
  </si>
  <si>
    <t>Prasad Narasimhadevara</t>
  </si>
  <si>
    <t>Nikhil</t>
  </si>
  <si>
    <t>Aniruddha Paradkar</t>
  </si>
  <si>
    <t>Telefonica Spain</t>
  </si>
  <si>
    <t>Telefonica Spain IT Transformation</t>
  </si>
  <si>
    <t>Hays PLC</t>
  </si>
  <si>
    <t>AI&amp;O RFP</t>
  </si>
  <si>
    <t>Entrust Datacard (EDC)</t>
  </si>
  <si>
    <t>Entrust Strategic Sourcing</t>
  </si>
  <si>
    <t>Apple Computer</t>
  </si>
  <si>
    <t>Project Newton</t>
  </si>
  <si>
    <t>Metso</t>
  </si>
  <si>
    <t>Operative IT Services and Related Development</t>
  </si>
  <si>
    <t>BASF</t>
  </si>
  <si>
    <t>SAP S/4 AP</t>
  </si>
  <si>
    <t>GENESIS - Onsite Support RFP</t>
  </si>
  <si>
    <t>British Telecommunications PLC</t>
  </si>
  <si>
    <t>Data Analytics and AI</t>
  </si>
  <si>
    <t>NHS 24</t>
  </si>
  <si>
    <t>NHS 24 Contact Centre Customer Relationship Management System</t>
  </si>
  <si>
    <t>BillerudKorsnas</t>
  </si>
  <si>
    <t>Billerud S4Hana Rfx</t>
  </si>
  <si>
    <t>Saudi Airlnes</t>
  </si>
  <si>
    <t>Saudia TAMKEEN RFP</t>
  </si>
  <si>
    <t>SkillsFuture Singapore (SSG)</t>
  </si>
  <si>
    <t>MySkillsFuture System</t>
  </si>
  <si>
    <t>Biomerieux</t>
  </si>
  <si>
    <t>SAP AMS</t>
  </si>
  <si>
    <t>Nikhil Aphale</t>
  </si>
  <si>
    <t>Puneet/Srishti?</t>
  </si>
  <si>
    <t>Puneet Gupta</t>
  </si>
  <si>
    <t>Nandu</t>
  </si>
  <si>
    <t>Shakya Kusum Datta</t>
  </si>
  <si>
    <t>Amitha Chawda</t>
  </si>
  <si>
    <t>Mahesh wandkar</t>
  </si>
  <si>
    <t>Srini Madhusudhan</t>
  </si>
  <si>
    <t>Darold Ochoa</t>
  </si>
  <si>
    <t>Nishant Raj</t>
  </si>
  <si>
    <t xml:space="preserve">Foram R Mehta </t>
  </si>
  <si>
    <t>Dhiraj Kumar</t>
  </si>
  <si>
    <t>Vikas Khandelwal</t>
  </si>
  <si>
    <t>Mitesh Shah</t>
  </si>
  <si>
    <t>Meera Joseph</t>
  </si>
  <si>
    <t>Manish Maheshwari</t>
  </si>
  <si>
    <t>Ravitej Raghuraj Jakati</t>
  </si>
  <si>
    <t>HANEEF BIJU</t>
  </si>
  <si>
    <t>Jithesh OS</t>
  </si>
  <si>
    <t>Michael Blakemore</t>
  </si>
  <si>
    <t>Gaber Elhalabi</t>
  </si>
  <si>
    <t>Sonu Neerati</t>
  </si>
  <si>
    <t>Joseph Lee</t>
  </si>
  <si>
    <t>Philippe Ly Cong Trinh</t>
  </si>
  <si>
    <t>5% deviation from win price</t>
  </si>
  <si>
    <t>Pricing: Commercial response was the least competitive received in the RFP Light. We were 85% away from target run price and 50% away from the next competitor.
Capability: Finance &amp; HR transformation capabilities did not align to Hays’ expectations</t>
  </si>
  <si>
    <t>Apple was developing an electric vehicle and wanted us to test drive the vechiles with some very stringent conditions. The price point was extremely low which we could not match. Ultimately Apple discontinued Project Newton has now scrapped the Electric Vehicle project itself
Drivers needed to be hired based on a certain criteria. Drive&gt;&gt;Feedback. Our role was to get driver + supervisor</t>
  </si>
  <si>
    <t>Solution &amp; Capability. Traditional people centric solution. India centric delivery model. Domain/ functional depth lacking. Misalignment in Hyper automation/ GenAI story &amp; productivity nos.</t>
  </si>
  <si>
    <t>Solution, Capability, Relationship. No robust Agri S/4 template. Weak capability in Agri industry segment. Also, TechM is viewed as a support partner.</t>
  </si>
  <si>
    <t>Capability, Solution, Relationship. DWP solution needs to be upgraded, weak solution around hand &amp; feet support, country coverage, mainly dependant on subcon.</t>
  </si>
  <si>
    <t>Capability, Solution. OCM was seen as a weak point where we partnered with a local agency. Our brand perception was weaker than Deloitte. (We reached final 2 stage)</t>
  </si>
  <si>
    <t>Per unit cost was higher than Accenture. Price loading for the region was very high - Sales, MDC &amp; Sales loading were 34% of the overheads.</t>
  </si>
  <si>
    <t>Q1'25</t>
  </si>
  <si>
    <t>Q2'25</t>
  </si>
  <si>
    <t>DD</t>
  </si>
  <si>
    <t>Qtr of closure</t>
  </si>
  <si>
    <t>Deal Status</t>
  </si>
  <si>
    <t>Lost</t>
  </si>
  <si>
    <t>Detailed Remarks</t>
  </si>
  <si>
    <t>Client Partner/ Opp. Owner</t>
  </si>
  <si>
    <t>Additional Commentary</t>
  </si>
  <si>
    <t>SBU Head Involved</t>
  </si>
  <si>
    <t>SL Heads Involved</t>
  </si>
  <si>
    <t>Team</t>
  </si>
  <si>
    <t>Deal Scope</t>
  </si>
  <si>
    <t>Verizon Consumer (VCG)</t>
  </si>
  <si>
    <t>Won</t>
  </si>
  <si>
    <t>Value NSA Stack Rationalization</t>
  </si>
  <si>
    <t>Analyst/ TPA Relations</t>
  </si>
  <si>
    <t>Winnability/ BQ  Feedback</t>
  </si>
  <si>
    <t>Bid Qualification (BQ)  Score</t>
  </si>
  <si>
    <t>Analyst Quadrant/ Brand Perception</t>
  </si>
  <si>
    <t>Effort estimation methodology</t>
  </si>
  <si>
    <t>Language/  Regional/ Gender Diversity</t>
  </si>
  <si>
    <t>Mahindra Group leverage</t>
  </si>
  <si>
    <t>Deal Coach availability/ fit</t>
  </si>
  <si>
    <t>Strong Business case/ Savings</t>
  </si>
  <si>
    <t>Customer GTM Growth</t>
  </si>
  <si>
    <t>Were we the lowest price? Y/N</t>
  </si>
  <si>
    <t>Bid Timeline</t>
  </si>
  <si>
    <t>Bid-Team size</t>
  </si>
  <si>
    <t>Optimized partner Rate cards</t>
  </si>
  <si>
    <t>What worked</t>
  </si>
  <si>
    <t>No go</t>
  </si>
  <si>
    <t>Go- good on relationship, deal validation, capability, EBITDA, timeline</t>
  </si>
  <si>
    <t>-</t>
  </si>
  <si>
    <t>BASF ( Single Vendor for DevOps across multiple products )</t>
  </si>
  <si>
    <t>Wartsila</t>
  </si>
  <si>
    <t>End-User and Infra Services</t>
  </si>
  <si>
    <t>Redwood RFI</t>
  </si>
  <si>
    <t>Verizon</t>
  </si>
  <si>
    <t>VCG VZI Visible Operations</t>
  </si>
  <si>
    <t>Pega CDH migration to GCP</t>
  </si>
  <si>
    <t>Aborted</t>
  </si>
  <si>
    <t>Bank of Nova Scotia</t>
  </si>
  <si>
    <t>Amgen</t>
  </si>
  <si>
    <t>Department of Agriculture and Fisheries and Forestry</t>
  </si>
  <si>
    <t>NGS Super</t>
  </si>
  <si>
    <t>Sunrise Switzerland</t>
  </si>
  <si>
    <t>UniSuper</t>
  </si>
  <si>
    <t>Manila Electric Company(Meralco)</t>
  </si>
  <si>
    <t>Emirates Global Aluminium(EGA)</t>
  </si>
  <si>
    <t>IT Data Center &amp; Infrastructure Managed Services</t>
  </si>
  <si>
    <t>IT Outsourcing</t>
  </si>
  <si>
    <t>END USER Productive and Service Desk - EUSP</t>
  </si>
  <si>
    <t>NGS Super - Superannuation Pension and Administration Services</t>
  </si>
  <si>
    <t>Total IT Consolidation using cutting-edge technologies like Generative AI</t>
  </si>
  <si>
    <t>Partnered IT Outsourcing Services RFI</t>
  </si>
  <si>
    <t>Meter Data Management System (MDMS)</t>
  </si>
  <si>
    <t>Total Outsourcing ( Infra &amp; Application Managed Services)</t>
  </si>
  <si>
    <t>Deepa Pande + Srishti</t>
  </si>
  <si>
    <t>Sudarshan Chacko</t>
  </si>
  <si>
    <t>Rohit Singhal</t>
  </si>
  <si>
    <t>Shakya Kusum Datta, Konark Bhasin</t>
  </si>
  <si>
    <t>Ganesh</t>
  </si>
  <si>
    <t>Srinivas, Sathiya</t>
  </si>
  <si>
    <t>Sudarshan Chaco, Michael Hogan</t>
  </si>
  <si>
    <t>Ganesh, Sathiya</t>
  </si>
  <si>
    <t>Prasad Jammalamadaka</t>
  </si>
  <si>
    <t>Mohan Challa</t>
  </si>
  <si>
    <t>Devender Gupta</t>
  </si>
  <si>
    <t>Umesh Kumar Gupta</t>
  </si>
  <si>
    <t>Elakkiya Kumar</t>
  </si>
  <si>
    <t>Jyoti Sadhwani</t>
  </si>
  <si>
    <t>Rahul Joshi</t>
  </si>
  <si>
    <t>PRANAB CHOUDHURY</t>
  </si>
  <si>
    <t>Anil Chava</t>
  </si>
  <si>
    <t>Shafiq Basheer</t>
  </si>
  <si>
    <t>Vivek Kaul</t>
  </si>
  <si>
    <t>Gowri</t>
  </si>
  <si>
    <t>Western Australian Land Information Authority - Apps</t>
  </si>
  <si>
    <t>Nandu/ Sunil N &amp; Parag S</t>
  </si>
  <si>
    <t>ABS (AT&amp;T)</t>
  </si>
  <si>
    <t>North Star - Service Mgmt and Service Delivery E2E Transformation</t>
  </si>
  <si>
    <t>Pega ESTATE 5Year</t>
  </si>
  <si>
    <t>Western Australian Land Information Authority - Infra</t>
  </si>
  <si>
    <t>Anilkumar Parameshwaran Pillai</t>
  </si>
  <si>
    <t>Manju Shyam</t>
  </si>
  <si>
    <t>Arif Fazal Syed</t>
  </si>
  <si>
    <t>Quality of RFP/ Proactive Deal sourcing</t>
  </si>
  <si>
    <t>Technical Response Quality (coherent, competitive, consultative, competitive)</t>
  </si>
  <si>
    <t>Domain/ Functional Expertise</t>
  </si>
  <si>
    <t>References (Scale, Domain, Usecase) &amp; Case Studies</t>
  </si>
  <si>
    <t>Competition and Incumbency (strategic, CSAT, delivery track record)</t>
  </si>
  <si>
    <r>
      <rPr>
        <sz val="11"/>
        <color theme="1"/>
        <rFont val="Calibri"/>
        <family val="2"/>
      </rPr>
      <t xml:space="preserve">Quality 360° </t>
    </r>
    <r>
      <rPr>
        <sz val="11"/>
        <color theme="1"/>
        <rFont val="Calibri"/>
        <family val="2"/>
        <scheme val="minor"/>
      </rPr>
      <t>Deal Intelligence/Validation (incl win price)</t>
    </r>
  </si>
  <si>
    <t>PoV/ Thought Leadership</t>
  </si>
  <si>
    <t xml:space="preserve"> Demo/ Show &amp; Tell/ Video</t>
  </si>
  <si>
    <t>Process issues (Bid management, reviews, timeline available)</t>
  </si>
  <si>
    <t>Deviation/fit to win price</t>
  </si>
  <si>
    <t>Pricing model innovation/ Commercial Structure</t>
  </si>
  <si>
    <t>Strategic_Initiatives</t>
  </si>
  <si>
    <t>Capability_or_Credentials</t>
  </si>
  <si>
    <t>Loading/Input parameters as per guidelines (productivity, HTR, Premium/niche, offshore)</t>
  </si>
  <si>
    <t>Delivery Readiness (incl local presence)</t>
  </si>
  <si>
    <t>Quality 360° Deal Intelligence/Validation (incl win price)</t>
  </si>
  <si>
    <t>Client Relationship (CXOs, decision makers, influencers)</t>
  </si>
  <si>
    <t xml:space="preserve">EY-TechM partnership. EY solution was not aligned to customer's needs. GSK to reconnect with us during the development phase. </t>
  </si>
  <si>
    <t xml:space="preserve">Lack of Relationship with the customer and NO deal coach at client end
Heavy incumbency and customer went with existing vendors. </t>
  </si>
  <si>
    <t>Alliances/ Partners fit</t>
  </si>
  <si>
    <t>GSK S/4 HANA &amp; MDM transformation 2024 (prep)</t>
  </si>
  <si>
    <t>Orals Performance (CAS1 - Capability &amp; Capacity presentation). Cust expectation - GE specific solutions vs general solution presented. ISG - Deterrent.
External advisor had reviewed our proposal - This needed to be stronger</t>
  </si>
  <si>
    <t>Single vendor for DevOps across multiple products, GenAI pilot, Business-outcome based commercials</t>
  </si>
  <si>
    <t>Strong customer relationship, Customized AI story; Great delivery track record</t>
  </si>
  <si>
    <t>Our Tx approach, Out of the box deal structuring, Customer relationship</t>
  </si>
  <si>
    <t xml:space="preserve">Our bespoke approach, empathetic response to understand and reflect on their pain areas with a clear focus on solving the problems through unique offerings leveraging the Partner ecosystem and Subsidiaries.
</t>
  </si>
  <si>
    <t>Type of Business (EE/EN/NN)</t>
  </si>
  <si>
    <t>Primary L1</t>
  </si>
  <si>
    <t>Primary L2</t>
  </si>
  <si>
    <t>Secondary L1</t>
  </si>
  <si>
    <t>Secondary L2</t>
  </si>
  <si>
    <t>Tertiary L1</t>
  </si>
  <si>
    <t>Tertiary L2</t>
  </si>
  <si>
    <t>Go</t>
  </si>
  <si>
    <t>Go- MHA logos</t>
  </si>
  <si>
    <t>Incumbency advantage/discounting</t>
  </si>
  <si>
    <t>N- Competitive</t>
  </si>
  <si>
    <t>N</t>
  </si>
  <si>
    <t>The capability response was more of generic. And because of that  we didn’t meet the client's expectation. We don’t have in-depth case studies across organisation. This deal is at RFI stage, no cost involved, it is only capability representation towards Digital command center. CRM competency doesn't have relevant case studies to show case our experience in the region</t>
  </si>
  <si>
    <t>We met the win price but incumbent could give steep discount due to no transition advantage</t>
  </si>
  <si>
    <t>No go for SST due to single tower</t>
  </si>
  <si>
    <t>Clear upfront understanding of what will help us win, strong customer connect and relationship building, continuous in-person engagement with the customer helped us understand their needs and requirements, intelligence about target price, ability to address all customer requirements</t>
  </si>
  <si>
    <t>Continuous onsite engagement by SME to help create a end-state vision for the customer. intelligence about target price, ability to ramp up FTE (architects) in a timely manner</t>
  </si>
  <si>
    <t>SAP Expertise, capability credentials, could navigate the organization well, hunger for win which resonated well with Customer, could displace competition. </t>
  </si>
  <si>
    <t>Customer Bias</t>
  </si>
  <si>
    <t>Y</t>
  </si>
  <si>
    <t>Go- but customer connect to be improved</t>
  </si>
  <si>
    <t>Go- aware of customer connect issue</t>
  </si>
  <si>
    <t>1. We don't have the experience of supporting this scale of restaurants. 2. client felt our futuristic / digital approach and outcome is over ambitious, 3. Commercial was higher than other players but told that ours was still avg. 4. SD score seemed low. 5. Franchisees who participated in the workshop actually had clapped and appreciated where as on the contrary when we heard later that they were not happy!. our sales pitch was unrealistic.</t>
  </si>
  <si>
    <t>End user computing. Client went with local vendor. While we did not intend to respond initially, customer insisted for a proposal. Quotation exercise? Purely single tower / end user -field support deal / smaller revenue size. There was a history, this client follows RFP for the sake of process, and the deal goes to incumbent only, so global players don't show much interest. Whereas sales was of the view this time it was different. Entire IT given to others and floated RFP for only field support.  In the RFP, they had given specified HC requirement which we were significantly higher than what they really required but we had to quote to be compliant. In the workshop they did not show seriousness. The deal eventually went to a local player directly as we would have had to partner with one such partner and so our commercial was higher than the local vendor</t>
  </si>
  <si>
    <t>Defense session: We had to cut down on remaining sessions (Transition &amp; BPS). ADMS.NXT session took most of the time.
Client initially felt that we were slightly aggressive with the timelines. 
Our MFG proposition was weak</t>
  </si>
  <si>
    <t>Domain/ Functional Expertise / Industry trends</t>
  </si>
  <si>
    <t>Commercial parameters as per guidelines (contigency, bought out)</t>
  </si>
  <si>
    <t>Cookie cutter solutions for commoditised services vis-à-vis peers</t>
  </si>
  <si>
    <t>Cost &amp; Rate benchmarks not available/non-standardised across org</t>
  </si>
  <si>
    <t>Solution arcticulation and a great experience during the India customer visit</t>
  </si>
  <si>
    <t>No Go</t>
  </si>
  <si>
    <t>Great customer relationship and PE firm conect. Solution was of very high quality</t>
  </si>
  <si>
    <t>•	Strong relationship with client stakeholders 
•	Experience which helped relate to customer’s key asks and pain points.
•	Compelling value proposition
•	Domain Expertise and strong technical solutioning
•	Excellent References in UAE &amp; GCC</t>
  </si>
  <si>
    <t>•	Strong relationship with client stakeholders
•	Strong delivery / Solutioning
•	Excellent References</t>
  </si>
  <si>
    <t>Delivery Readiness</t>
  </si>
  <si>
    <t>Local Presence</t>
  </si>
  <si>
    <t>Lost due to lack of cust connect. CIO is ex-TechM who doesnt have good opinion about our delivery capability. Strong incumbency</t>
  </si>
  <si>
    <t>Deal Size bucket</t>
  </si>
  <si>
    <t>Radiology Partners</t>
  </si>
  <si>
    <t>Radiology Partners_VRA BOT Model_RFP</t>
  </si>
  <si>
    <t>NN</t>
  </si>
  <si>
    <t>Etihad</t>
  </si>
  <si>
    <t>Nationwide</t>
  </si>
  <si>
    <t>Otis Elevator Company</t>
  </si>
  <si>
    <t>Application Development &amp; Management</t>
  </si>
  <si>
    <t>NA- No Qual process</t>
  </si>
  <si>
    <t>Strong Outcome-based Deal Strategy</t>
  </si>
  <si>
    <t>RFP has issued for NT transformation. Customer  did the cost comparaion before &amp; after  transformation then decided to go with existing system with incumbent only
Price was not the factor for decision. Bank did not want to take transition risk in the context of VM integration. Outside of BT we will remain the preferred partner and work will come our way. Our Solution and Commercials were good. On Rate card we were rated number 1 over the competiion</t>
  </si>
  <si>
    <t>Despite TechM’s strong solution and being considered if Etihad moved away from incumbent IBM, it appears this was a price benchmarking exercise to renegotiate with IBM+Kyndryl. Etihad was locked in with IBM for DC facilities, assets, and security, making it commercially unviable to switch due to high transition efforts and asset costs. Ultimately, Etihad likely extended their existing engagement with IBM by renegotiating the price, as the costs and risks of transitioning outweighed TechM’s solution benefits.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</si>
</sst>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 &quot;₹&quot;\ * #,##0.00_ ;_ &quot;₹&quot;\ * \-#,##0.00_ ;_ &quot;₹&quot;\ * &quot;-&quot;??_ ;_ @_ "/>
    <numFmt numFmtId="164" formatCode="0.0"/>
    <numFmt numFmtId="165" formatCode="_(* #,##0.00_);_(* \(#,##0.00\);_(* &quot;-&quot;??_);_(@_)"/>
    <numFmt numFmtId="166" formatCode="_(&quot;$&quot;* #,##0.00_);_(&quot;$&quot;* \(#,##0.00\);_(&quot;$&quot;* &quot;-&quot;??_);_(@_)"/>
  </numFmts>
  <fonts count="18" x14ac:knownFonts="1">
    <font>
      <sz val="11"/>
      <color theme="1"/>
      <name val="Calibri"/>
      <family val="2"/>
      <scheme val="minor"/>
    </font>
    <font>
      <sz val="11"/>
      <color theme="1"/>
      <name val="Calibri"/>
      <family val="2"/>
      <scheme val="minor"/>
    </font>
    <font>
      <sz val="11"/>
      <color rgb="FF006100"/>
      <name val="Calibri"/>
      <family val="2"/>
      <scheme val="minor"/>
    </font>
    <font>
      <b/>
      <sz val="11"/>
      <color theme="1"/>
      <name val="Calibri"/>
      <family val="2"/>
      <scheme val="minor"/>
    </font>
    <font>
      <sz val="11"/>
      <name val="Calibri"/>
      <family val="2"/>
      <scheme val="minor"/>
    </font>
    <font>
      <b/>
      <sz val="10"/>
      <name val="Calibri"/>
      <family val="2"/>
      <scheme val="minor"/>
    </font>
    <font>
      <b/>
      <sz val="11"/>
      <name val="Calibri"/>
      <family val="2"/>
      <scheme val="minor"/>
    </font>
    <font>
      <sz val="9"/>
      <name val="Calibri"/>
      <family val="2"/>
      <scheme val="minor"/>
    </font>
    <font>
      <sz val="8"/>
      <color theme="1"/>
      <name val="Calibri"/>
      <family val="2"/>
      <scheme val="minor"/>
    </font>
    <font>
      <sz val="8"/>
      <name val="Calibri"/>
      <family val="2"/>
      <scheme val="minor"/>
    </font>
    <font>
      <b/>
      <sz val="9"/>
      <name val="Calibri"/>
      <family val="2"/>
      <scheme val="minor"/>
    </font>
    <font>
      <b/>
      <sz val="11"/>
      <name val="Aptos Narrow"/>
      <family val="2"/>
    </font>
    <font>
      <sz val="8"/>
      <name val="Aptos Narrow"/>
      <family val="2"/>
    </font>
    <font>
      <b/>
      <sz val="12"/>
      <color theme="1"/>
      <name val="Calibri"/>
      <family val="2"/>
      <scheme val="minor"/>
    </font>
    <font>
      <b/>
      <sz val="11"/>
      <color rgb="FF000000"/>
      <name val="Calibri"/>
      <family val="2"/>
      <scheme val="minor"/>
    </font>
    <font>
      <sz val="11"/>
      <color rgb="FF000000"/>
      <name val="Calibri"/>
      <family val="2"/>
      <scheme val="minor"/>
    </font>
    <font>
      <sz val="11"/>
      <color theme="1"/>
      <name val="Calibri"/>
      <family val="2"/>
    </font>
    <font>
      <b/>
      <sz val="9"/>
      <color theme="0"/>
      <name val="Calibri"/>
      <family val="2"/>
      <scheme val="minor"/>
    </font>
  </fonts>
  <fills count="17">
    <fill>
      <patternFill patternType="none"/>
    </fill>
    <fill>
      <patternFill patternType="gray125"/>
    </fill>
    <fill>
      <patternFill patternType="solid">
        <fgColor rgb="FFC6EFCE"/>
      </patternFill>
    </fill>
    <fill>
      <patternFill patternType="solid">
        <fgColor theme="1"/>
        <bgColor indexed="64"/>
      </patternFill>
    </fill>
    <fill>
      <patternFill patternType="solid">
        <fgColor rgb="FF0070C0"/>
        <bgColor indexed="64"/>
      </patternFill>
    </fill>
    <fill>
      <patternFill patternType="solid">
        <fgColor theme="9" tint="0.79998168889431442"/>
        <bgColor rgb="FF000000"/>
      </patternFill>
    </fill>
    <fill>
      <patternFill patternType="solid">
        <fgColor theme="9" tint="0.79998168889431442"/>
        <bgColor indexed="64"/>
      </patternFill>
    </fill>
    <fill>
      <patternFill patternType="solid">
        <fgColor theme="5" tint="0.79998168889431442"/>
        <bgColor rgb="FF000000"/>
      </patternFill>
    </fill>
    <fill>
      <patternFill patternType="solid">
        <fgColor theme="2"/>
        <bgColor rgb="FF000000"/>
      </patternFill>
    </fill>
    <fill>
      <patternFill patternType="solid">
        <fgColor theme="8" tint="0.79998168889431442"/>
        <bgColor rgb="FF000000"/>
      </patternFill>
    </fill>
    <fill>
      <patternFill patternType="solid">
        <fgColor rgb="FF7030A0"/>
        <bgColor indexed="64"/>
      </patternFill>
    </fill>
    <fill>
      <patternFill patternType="solid">
        <fgColor theme="8" tint="0.79998168889431442"/>
        <bgColor indexed="64"/>
      </patternFill>
    </fill>
    <fill>
      <patternFill patternType="solid">
        <fgColor theme="9" tint="0.39997558519241921"/>
        <bgColor indexed="64"/>
      </patternFill>
    </fill>
    <fill>
      <patternFill patternType="solid">
        <fgColor rgb="FFD3BDFF"/>
        <bgColor indexed="64"/>
      </patternFill>
    </fill>
    <fill>
      <patternFill patternType="solid">
        <fgColor rgb="FFFFFF00"/>
        <bgColor indexed="64"/>
      </patternFill>
    </fill>
    <fill>
      <patternFill patternType="solid">
        <fgColor theme="2" tint="-9.9978637043366805E-2"/>
        <bgColor indexed="64"/>
      </patternFill>
    </fill>
    <fill>
      <patternFill patternType="solid">
        <fgColor theme="0"/>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theme="2"/>
      </left>
      <right style="thin">
        <color theme="2"/>
      </right>
      <top style="thin">
        <color theme="2"/>
      </top>
      <bottom style="thin">
        <color theme="2"/>
      </bottom>
      <diagonal/>
    </border>
    <border>
      <left/>
      <right style="thin">
        <color theme="2"/>
      </right>
      <top/>
      <bottom/>
      <diagonal/>
    </border>
    <border>
      <left/>
      <right/>
      <top style="thin">
        <color theme="2"/>
      </top>
      <bottom style="double">
        <color indexed="64"/>
      </bottom>
      <diagonal/>
    </border>
    <border>
      <left/>
      <right/>
      <top style="thin">
        <color theme="2"/>
      </top>
      <bottom/>
      <diagonal/>
    </border>
    <border>
      <left/>
      <right style="thin">
        <color theme="2"/>
      </right>
      <top style="thin">
        <color theme="2"/>
      </top>
      <bottom/>
      <diagonal/>
    </border>
    <border>
      <left style="thin">
        <color indexed="64"/>
      </left>
      <right style="thin">
        <color indexed="64"/>
      </right>
      <top/>
      <bottom/>
      <diagonal/>
    </border>
    <border>
      <left style="thin">
        <color indexed="64"/>
      </left>
      <right/>
      <top/>
      <bottom/>
      <diagonal/>
    </border>
    <border>
      <left style="thin">
        <color indexed="64"/>
      </left>
      <right style="thin">
        <color indexed="64"/>
      </right>
      <top style="thin">
        <color indexed="64"/>
      </top>
      <bottom/>
      <diagonal/>
    </border>
  </borders>
  <cellStyleXfs count="7">
    <xf numFmtId="0" fontId="0" fillId="0" borderId="0"/>
    <xf numFmtId="44" fontId="1" fillId="0" borderId="0" applyFont="0" applyFill="0" applyBorder="0" applyAlignment="0" applyProtection="0"/>
    <xf numFmtId="9" fontId="1" fillId="0" borderId="0" applyFont="0" applyFill="0" applyBorder="0" applyAlignment="0" applyProtection="0"/>
    <xf numFmtId="0" fontId="2" fillId="2" borderId="0" applyNumberFormat="0" applyBorder="0" applyAlignment="0" applyProtection="0"/>
    <xf numFmtId="165" fontId="1" fillId="0" borderId="0" applyFont="0" applyFill="0" applyBorder="0" applyAlignment="0" applyProtection="0"/>
    <xf numFmtId="166" fontId="1" fillId="0" borderId="0" applyFont="0" applyFill="0" applyBorder="0" applyAlignment="0" applyProtection="0"/>
    <xf numFmtId="9" fontId="1" fillId="0" borderId="0" applyFont="0" applyFill="0" applyBorder="0" applyAlignment="0" applyProtection="0"/>
  </cellStyleXfs>
  <cellXfs count="83">
    <xf numFmtId="0" fontId="0" fillId="0" borderId="0" xfId="0"/>
    <xf numFmtId="0" fontId="4" fillId="0" borderId="0" xfId="0" applyFont="1" applyAlignment="1">
      <alignment horizontal="center" vertical="center" wrapText="1"/>
    </xf>
    <xf numFmtId="0" fontId="4" fillId="0" borderId="0" xfId="0" applyFont="1" applyAlignment="1">
      <alignment horizontal="center" vertical="top" wrapText="1"/>
    </xf>
    <xf numFmtId="0" fontId="5" fillId="0" borderId="0" xfId="0" applyFont="1" applyAlignment="1">
      <alignment horizontal="center" vertical="center" wrapText="1"/>
    </xf>
    <xf numFmtId="0" fontId="9" fillId="0" borderId="3" xfId="0" applyFont="1" applyBorder="1" applyAlignment="1">
      <alignment horizontal="center" vertical="center" wrapText="1"/>
    </xf>
    <xf numFmtId="0" fontId="4" fillId="0" borderId="3" xfId="0" applyFont="1" applyBorder="1" applyAlignment="1">
      <alignment horizontal="center" vertical="center" wrapText="1"/>
    </xf>
    <xf numFmtId="0" fontId="6" fillId="0" borderId="3" xfId="0" applyFont="1" applyBorder="1" applyAlignment="1">
      <alignment horizontal="center" vertical="center" wrapText="1"/>
    </xf>
    <xf numFmtId="164" fontId="6" fillId="0" borderId="3" xfId="1" applyNumberFormat="1" applyFont="1" applyFill="1" applyBorder="1" applyAlignment="1">
      <alignment horizontal="center" vertical="center" wrapText="1"/>
    </xf>
    <xf numFmtId="0" fontId="9" fillId="0" borderId="3" xfId="0" applyFont="1" applyBorder="1" applyAlignment="1">
      <alignment horizontal="center" vertical="center"/>
    </xf>
    <xf numFmtId="0" fontId="9" fillId="0" borderId="0" xfId="0" applyFont="1" applyAlignment="1">
      <alignment horizontal="center" vertical="center" wrapText="1"/>
    </xf>
    <xf numFmtId="0" fontId="10" fillId="5" borderId="3" xfId="0" applyFont="1" applyFill="1" applyBorder="1" applyAlignment="1">
      <alignment horizontal="center" vertical="center" wrapText="1"/>
    </xf>
    <xf numFmtId="1" fontId="6" fillId="0" borderId="3" xfId="1" applyNumberFormat="1" applyFont="1" applyFill="1" applyBorder="1" applyAlignment="1">
      <alignment horizontal="center" vertical="center" wrapText="1"/>
    </xf>
    <xf numFmtId="1" fontId="11" fillId="0" borderId="3" xfId="0" applyNumberFormat="1" applyFont="1" applyBorder="1" applyAlignment="1">
      <alignment horizontal="center" vertical="center" wrapText="1"/>
    </xf>
    <xf numFmtId="0" fontId="12" fillId="0" borderId="3" xfId="0" applyFont="1" applyBorder="1" applyAlignment="1">
      <alignment horizontal="center" vertical="center" wrapText="1"/>
    </xf>
    <xf numFmtId="0" fontId="10" fillId="7" borderId="3" xfId="0" applyFont="1" applyFill="1" applyBorder="1" applyAlignment="1">
      <alignment horizontal="center" vertical="center" wrapText="1"/>
    </xf>
    <xf numFmtId="10" fontId="6" fillId="0" borderId="3" xfId="2" applyNumberFormat="1" applyFont="1" applyBorder="1" applyAlignment="1">
      <alignment horizontal="center" vertical="center" wrapText="1"/>
    </xf>
    <xf numFmtId="10" fontId="9" fillId="0" borderId="3" xfId="2" applyNumberFormat="1" applyFont="1" applyBorder="1" applyAlignment="1">
      <alignment horizontal="center" vertical="center" wrapText="1"/>
    </xf>
    <xf numFmtId="1" fontId="13" fillId="0" borderId="5" xfId="0" applyNumberFormat="1" applyFont="1" applyBorder="1" applyAlignment="1">
      <alignment horizontal="center"/>
    </xf>
    <xf numFmtId="1" fontId="8" fillId="0" borderId="5" xfId="0" applyNumberFormat="1" applyFont="1" applyBorder="1" applyAlignment="1">
      <alignment horizontal="center"/>
    </xf>
    <xf numFmtId="0" fontId="10" fillId="8" borderId="3" xfId="0" applyFont="1" applyFill="1" applyBorder="1" applyAlignment="1">
      <alignment horizontal="center" vertical="center" wrapText="1"/>
    </xf>
    <xf numFmtId="164" fontId="4" fillId="0" borderId="3" xfId="0" applyNumberFormat="1" applyFont="1" applyBorder="1" applyAlignment="1">
      <alignment horizontal="center" vertical="center" wrapText="1"/>
    </xf>
    <xf numFmtId="0" fontId="10" fillId="9" borderId="3" xfId="0" applyFont="1" applyFill="1" applyBorder="1" applyAlignment="1">
      <alignment horizontal="center" vertical="center" wrapText="1"/>
    </xf>
    <xf numFmtId="9" fontId="4" fillId="0" borderId="3" xfId="2" applyFont="1" applyBorder="1" applyAlignment="1">
      <alignment horizontal="center" vertical="center" wrapText="1"/>
    </xf>
    <xf numFmtId="164" fontId="3" fillId="0" borderId="5" xfId="0" applyNumberFormat="1" applyFont="1" applyBorder="1" applyAlignment="1">
      <alignment horizontal="center"/>
    </xf>
    <xf numFmtId="164" fontId="8" fillId="0" borderId="5" xfId="0" applyNumberFormat="1" applyFont="1" applyBorder="1" applyAlignment="1">
      <alignment horizontal="center"/>
    </xf>
    <xf numFmtId="0" fontId="14" fillId="0" borderId="3" xfId="0" applyFont="1" applyBorder="1" applyAlignment="1">
      <alignment horizontal="center" vertical="center" wrapText="1"/>
    </xf>
    <xf numFmtId="0" fontId="0" fillId="0" borderId="0" xfId="0" applyAlignment="1">
      <alignment horizontal="center" vertical="center"/>
    </xf>
    <xf numFmtId="0" fontId="0" fillId="0" borderId="1" xfId="0" applyBorder="1" applyAlignment="1">
      <alignment vertical="center"/>
    </xf>
    <xf numFmtId="0" fontId="7" fillId="0" borderId="2" xfId="0" applyFont="1" applyBorder="1" applyAlignment="1">
      <alignment horizontal="center" vertical="center" wrapText="1"/>
    </xf>
    <xf numFmtId="1" fontId="7" fillId="0" borderId="1" xfId="5" applyNumberFormat="1" applyFont="1" applyFill="1" applyBorder="1" applyAlignment="1">
      <alignment horizontal="center" vertical="center" wrapText="1"/>
    </xf>
    <xf numFmtId="1" fontId="7" fillId="0" borderId="2" xfId="5" applyNumberFormat="1" applyFont="1" applyFill="1" applyBorder="1" applyAlignment="1">
      <alignment horizontal="center" vertical="center" wrapText="1"/>
    </xf>
    <xf numFmtId="0" fontId="0" fillId="0" borderId="1" xfId="0" applyBorder="1" applyAlignment="1">
      <alignment horizontal="center" vertical="center" wrapText="1"/>
    </xf>
    <xf numFmtId="0" fontId="3" fillId="0" borderId="1" xfId="0" applyFont="1" applyBorder="1" applyAlignment="1">
      <alignment horizontal="center" vertical="center" wrapText="1"/>
    </xf>
    <xf numFmtId="0" fontId="8" fillId="0" borderId="0" xfId="0" applyFont="1" applyAlignment="1">
      <alignment horizontal="center" vertical="center" wrapText="1"/>
    </xf>
    <xf numFmtId="0" fontId="0" fillId="0" borderId="10" xfId="0" applyBorder="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0" fontId="0" fillId="0" borderId="0" xfId="0" applyAlignment="1">
      <alignment wrapText="1"/>
    </xf>
    <xf numFmtId="0" fontId="0" fillId="0" borderId="0" xfId="0" applyAlignment="1">
      <alignment vertical="center"/>
    </xf>
    <xf numFmtId="1" fontId="7" fillId="0" borderId="2" xfId="5" applyNumberFormat="1" applyFont="1" applyBorder="1" applyAlignment="1">
      <alignment horizontal="center" vertical="center" wrapText="1"/>
    </xf>
    <xf numFmtId="1" fontId="7" fillId="0" borderId="1" xfId="5" applyNumberFormat="1" applyFont="1" applyBorder="1" applyAlignment="1">
      <alignment horizontal="center" vertical="center" wrapText="1"/>
    </xf>
    <xf numFmtId="0" fontId="10" fillId="0" borderId="1" xfId="0" applyFont="1" applyBorder="1" applyAlignment="1">
      <alignment horizontal="center" vertical="center" wrapText="1"/>
    </xf>
    <xf numFmtId="0" fontId="7" fillId="0" borderId="1" xfId="0" applyFont="1" applyBorder="1" applyAlignment="1">
      <alignment horizontal="center" vertical="center" wrapText="1"/>
    </xf>
    <xf numFmtId="0" fontId="7" fillId="0" borderId="3" xfId="0" applyFont="1" applyBorder="1" applyAlignment="1">
      <alignment horizontal="center" vertical="center" wrapText="1"/>
    </xf>
    <xf numFmtId="0" fontId="0" fillId="0" borderId="8" xfId="0" applyBorder="1" applyAlignment="1">
      <alignment horizontal="center" vertical="center" wrapText="1"/>
    </xf>
    <xf numFmtId="0" fontId="10" fillId="0" borderId="0" xfId="0" applyFont="1" applyAlignment="1">
      <alignment horizontal="center" vertical="center" wrapText="1"/>
    </xf>
    <xf numFmtId="0" fontId="10" fillId="0" borderId="0" xfId="0" applyFont="1" applyAlignment="1">
      <alignment horizontal="center" vertical="top" wrapText="1"/>
    </xf>
    <xf numFmtId="0" fontId="6" fillId="0" borderId="0" xfId="0" applyFont="1" applyAlignment="1">
      <alignment horizontal="center" vertical="center" wrapText="1"/>
    </xf>
    <xf numFmtId="0" fontId="17" fillId="3" borderId="1" xfId="0" applyFont="1" applyFill="1" applyBorder="1" applyAlignment="1">
      <alignment horizontal="center" vertical="center" wrapText="1"/>
    </xf>
    <xf numFmtId="0" fontId="10" fillId="12" borderId="2" xfId="0" applyFont="1" applyFill="1" applyBorder="1" applyAlignment="1">
      <alignment horizontal="center" vertical="center" wrapText="1"/>
    </xf>
    <xf numFmtId="0" fontId="17" fillId="10" borderId="2" xfId="0" applyFont="1" applyFill="1" applyBorder="1" applyAlignment="1">
      <alignment horizontal="center" vertical="center" wrapText="1"/>
    </xf>
    <xf numFmtId="0" fontId="17" fillId="4" borderId="1" xfId="0" applyFont="1" applyFill="1" applyBorder="1" applyAlignment="1">
      <alignment horizontal="center" vertical="center" wrapText="1"/>
    </xf>
    <xf numFmtId="1" fontId="10" fillId="0" borderId="2" xfId="5" applyNumberFormat="1" applyFont="1" applyFill="1" applyBorder="1" applyAlignment="1">
      <alignment horizontal="center" vertical="center" wrapText="1"/>
    </xf>
    <xf numFmtId="1" fontId="10" fillId="0" borderId="2" xfId="5" applyNumberFormat="1" applyFont="1" applyBorder="1" applyAlignment="1">
      <alignment horizontal="center" vertical="center" wrapText="1"/>
    </xf>
    <xf numFmtId="0" fontId="17" fillId="3" borderId="2" xfId="0" applyFont="1" applyFill="1" applyBorder="1" applyAlignment="1">
      <alignment horizontal="center" vertical="center" wrapText="1"/>
    </xf>
    <xf numFmtId="0" fontId="10" fillId="16" borderId="1" xfId="0" applyFont="1" applyFill="1" applyBorder="1" applyAlignment="1">
      <alignment horizontal="center" vertical="center" wrapText="1"/>
    </xf>
    <xf numFmtId="0" fontId="7" fillId="16" borderId="1" xfId="0" applyFont="1" applyFill="1" applyBorder="1" applyAlignment="1">
      <alignment horizontal="center" vertical="center" wrapText="1"/>
    </xf>
    <xf numFmtId="1" fontId="7" fillId="16" borderId="1" xfId="5" applyNumberFormat="1" applyFont="1" applyFill="1" applyBorder="1" applyAlignment="1">
      <alignment horizontal="center" vertical="center" wrapText="1"/>
    </xf>
    <xf numFmtId="1" fontId="7" fillId="16" borderId="2" xfId="5" applyNumberFormat="1" applyFont="1" applyFill="1" applyBorder="1" applyAlignment="1">
      <alignment horizontal="center" vertical="center" wrapText="1"/>
    </xf>
    <xf numFmtId="1" fontId="10" fillId="16" borderId="2" xfId="5" applyNumberFormat="1" applyFont="1" applyFill="1" applyBorder="1" applyAlignment="1">
      <alignment horizontal="center" vertical="center" wrapText="1"/>
    </xf>
    <xf numFmtId="0" fontId="7" fillId="16" borderId="2" xfId="0" applyFont="1" applyFill="1" applyBorder="1" applyAlignment="1">
      <alignment horizontal="center" vertical="center" wrapText="1"/>
    </xf>
    <xf numFmtId="0" fontId="4" fillId="16" borderId="0" xfId="0" applyFont="1" applyFill="1" applyAlignment="1">
      <alignment horizontal="center" vertical="center" wrapText="1"/>
    </xf>
    <xf numFmtId="0" fontId="7" fillId="0" borderId="1" xfId="3" applyFont="1" applyFill="1" applyBorder="1" applyAlignment="1">
      <alignment horizontal="center" vertical="center" wrapText="1"/>
    </xf>
    <xf numFmtId="0" fontId="7" fillId="16" borderId="1" xfId="3" applyFont="1" applyFill="1" applyBorder="1" applyAlignment="1">
      <alignment horizontal="center" vertical="center" wrapText="1"/>
    </xf>
    <xf numFmtId="1" fontId="7" fillId="0" borderId="1" xfId="0" applyNumberFormat="1" applyFont="1" applyBorder="1" applyAlignment="1">
      <alignment horizontal="center" vertical="center" wrapText="1"/>
    </xf>
    <xf numFmtId="1" fontId="7" fillId="0" borderId="2" xfId="0" applyNumberFormat="1" applyFont="1" applyBorder="1" applyAlignment="1">
      <alignment horizontal="center" vertical="center" wrapText="1"/>
    </xf>
    <xf numFmtId="0" fontId="7" fillId="0" borderId="2" xfId="0" quotePrefix="1" applyFont="1" applyBorder="1" applyAlignment="1">
      <alignment horizontal="center" vertical="center" wrapText="1"/>
    </xf>
    <xf numFmtId="2" fontId="7" fillId="0" borderId="1" xfId="0" applyNumberFormat="1" applyFont="1" applyBorder="1" applyAlignment="1">
      <alignment horizontal="center" vertical="center" wrapText="1"/>
    </xf>
    <xf numFmtId="0" fontId="7" fillId="15" borderId="2" xfId="0" applyFont="1" applyFill="1" applyBorder="1" applyAlignment="1">
      <alignment horizontal="center" vertical="center" wrapText="1"/>
    </xf>
    <xf numFmtId="1" fontId="10" fillId="14" borderId="2" xfId="5" applyNumberFormat="1" applyFont="1" applyFill="1" applyBorder="1" applyAlignment="1">
      <alignment horizontal="center" vertical="center" wrapText="1"/>
    </xf>
    <xf numFmtId="1" fontId="7" fillId="14" borderId="2" xfId="5" applyNumberFormat="1" applyFont="1" applyFill="1" applyBorder="1" applyAlignment="1">
      <alignment horizontal="center" vertical="center" wrapText="1"/>
    </xf>
    <xf numFmtId="0" fontId="10" fillId="11" borderId="1" xfId="0" applyFont="1" applyFill="1" applyBorder="1" applyAlignment="1">
      <alignment horizontal="center" vertical="center" wrapText="1"/>
    </xf>
    <xf numFmtId="0" fontId="10" fillId="13" borderId="1" xfId="0" applyFont="1" applyFill="1" applyBorder="1" applyAlignment="1">
      <alignment horizontal="center" vertical="center" wrapText="1"/>
    </xf>
    <xf numFmtId="0" fontId="17" fillId="3" borderId="9" xfId="0" applyFont="1" applyFill="1" applyBorder="1" applyAlignment="1">
      <alignment horizontal="center" vertical="center" wrapText="1"/>
    </xf>
    <xf numFmtId="0" fontId="17" fillId="3" borderId="8" xfId="0" applyFont="1" applyFill="1" applyBorder="1" applyAlignment="1">
      <alignment horizontal="center" vertical="center" wrapText="1"/>
    </xf>
    <xf numFmtId="0" fontId="10" fillId="6" borderId="2" xfId="0" applyFont="1" applyFill="1" applyBorder="1" applyAlignment="1">
      <alignment horizontal="center" vertical="center" wrapText="1"/>
    </xf>
    <xf numFmtId="0" fontId="3" fillId="6" borderId="4" xfId="0" applyFont="1" applyFill="1" applyBorder="1" applyAlignment="1">
      <alignment horizontal="center" vertical="center" wrapText="1"/>
    </xf>
    <xf numFmtId="0" fontId="6" fillId="7" borderId="6" xfId="0" applyFont="1" applyFill="1" applyBorder="1" applyAlignment="1">
      <alignment horizontal="center" vertical="center" wrapText="1"/>
    </xf>
    <xf numFmtId="0" fontId="6" fillId="7" borderId="0" xfId="0" applyFont="1" applyFill="1" applyAlignment="1">
      <alignment horizontal="center" vertical="center" wrapText="1"/>
    </xf>
    <xf numFmtId="0" fontId="6" fillId="8" borderId="7" xfId="0" applyFont="1" applyFill="1" applyBorder="1" applyAlignment="1">
      <alignment horizontal="center" vertical="center" wrapText="1"/>
    </xf>
    <xf numFmtId="0" fontId="6" fillId="8" borderId="4" xfId="0" applyFont="1" applyFill="1" applyBorder="1" applyAlignment="1">
      <alignment horizontal="center" vertical="center" wrapText="1"/>
    </xf>
    <xf numFmtId="0" fontId="6" fillId="9" borderId="7" xfId="0" applyFont="1" applyFill="1" applyBorder="1" applyAlignment="1">
      <alignment horizontal="center" vertical="center" wrapText="1"/>
    </xf>
    <xf numFmtId="0" fontId="6" fillId="9" borderId="4" xfId="0" applyFont="1" applyFill="1" applyBorder="1" applyAlignment="1">
      <alignment horizontal="center" vertical="center" wrapText="1"/>
    </xf>
  </cellXfs>
  <cellStyles count="7">
    <cellStyle name="Comma 2" xfId="4" xr:uid="{927F8994-2CD4-4A2D-8F73-FC2384C1AF24}"/>
    <cellStyle name="Currency" xfId="1" builtinId="4"/>
    <cellStyle name="Currency 2" xfId="5" xr:uid="{F0F95EE8-F28E-4753-8CE9-EB9F90F35891}"/>
    <cellStyle name="Good" xfId="3" builtinId="26"/>
    <cellStyle name="Normal" xfId="0" builtinId="0"/>
    <cellStyle name="Percent" xfId="2" builtinId="5"/>
    <cellStyle name="Percent 2" xfId="6" xr:uid="{CDADD67D-9D84-460B-9EAE-EAB4EBC46517}"/>
  </cellStyles>
  <dxfs count="21">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s>
  <tableStyles count="0" defaultTableStyle="TableStyleMedium2" defaultPivotStyle="PivotStyleLight16"/>
  <colors>
    <mruColors>
      <color rgb="FFD3BD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techmahindra.sharepoint.com/sites/LDOffice/Shared%20Documents/General/6_Pipeline/Pipeline%2026.08.24.xlsx" TargetMode="External"/><Relationship Id="rId1" Type="http://schemas.openxmlformats.org/officeDocument/2006/relationships/externalLinkPath" Target="https://techmahindra.sharepoint.com/sites/LDOffice/Shared%20Documents/General/6_Pipeline/Pipeline%2026.08.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FY25 Pipeline"/>
      <sheetName val="Pipeline ageing"/>
      <sheetName val="ADMS V1"/>
      <sheetName val="Pivot"/>
      <sheetName val="ADMS"/>
      <sheetName val="Pivot (2)"/>
      <sheetName val="Proactive Deals"/>
      <sheetName val="EMEA_Table"/>
      <sheetName val="Transition Tracker"/>
      <sheetName val="Transition - Tracker"/>
      <sheetName val="Deal Allocation Tracker"/>
      <sheetName val="FY24 WLA"/>
      <sheetName val="Sheet1"/>
      <sheetName val="Overview"/>
      <sheetName val="QoQ"/>
      <sheetName val="IBG gr"/>
    </sheetNames>
    <sheetDataSet>
      <sheetData sheetId="0" refreshError="1">
        <row r="1">
          <cell r="A1" t="str">
            <v>CRM ID</v>
          </cell>
          <cell r="AF1" t="str">
            <v>Type of Business</v>
          </cell>
        </row>
        <row r="2">
          <cell r="A2">
            <v>250449</v>
          </cell>
          <cell r="AF2" t="str">
            <v>EN</v>
          </cell>
        </row>
        <row r="3">
          <cell r="A3">
            <v>302134</v>
          </cell>
          <cell r="AF3" t="str">
            <v>NN</v>
          </cell>
        </row>
        <row r="4">
          <cell r="A4">
            <v>291556</v>
          </cell>
          <cell r="AF4" t="str">
            <v>EN</v>
          </cell>
        </row>
        <row r="5">
          <cell r="A5">
            <v>312925</v>
          </cell>
          <cell r="AF5" t="str">
            <v>NN</v>
          </cell>
        </row>
        <row r="6">
          <cell r="A6">
            <v>297388</v>
          </cell>
          <cell r="AF6" t="str">
            <v>EN</v>
          </cell>
        </row>
        <row r="7">
          <cell r="A7">
            <v>302041</v>
          </cell>
          <cell r="AF7" t="str">
            <v>EN</v>
          </cell>
        </row>
        <row r="8">
          <cell r="A8">
            <v>315484</v>
          </cell>
          <cell r="AF8" t="str">
            <v>EE</v>
          </cell>
        </row>
        <row r="9">
          <cell r="A9">
            <v>318632</v>
          </cell>
          <cell r="AF9" t="str">
            <v>NN</v>
          </cell>
        </row>
        <row r="10">
          <cell r="A10">
            <v>318598</v>
          </cell>
          <cell r="AF10" t="str">
            <v>NN</v>
          </cell>
        </row>
        <row r="11">
          <cell r="A11">
            <v>314314</v>
          </cell>
          <cell r="AF11" t="str">
            <v>EN</v>
          </cell>
        </row>
        <row r="12">
          <cell r="A12">
            <v>313851</v>
          </cell>
          <cell r="AF12" t="str">
            <v>NN</v>
          </cell>
        </row>
        <row r="13">
          <cell r="A13">
            <v>313661</v>
          </cell>
          <cell r="AF13" t="str">
            <v>EN</v>
          </cell>
        </row>
        <row r="14">
          <cell r="A14">
            <v>302778</v>
          </cell>
          <cell r="AF14" t="str">
            <v>EN</v>
          </cell>
        </row>
        <row r="15">
          <cell r="A15">
            <v>319496</v>
          </cell>
          <cell r="AF15" t="str">
            <v>EN</v>
          </cell>
        </row>
        <row r="16">
          <cell r="A16">
            <v>248917</v>
          </cell>
          <cell r="AF16" t="str">
            <v>NN</v>
          </cell>
        </row>
        <row r="17">
          <cell r="A17">
            <v>315007</v>
          </cell>
          <cell r="AF17" t="str">
            <v>EN</v>
          </cell>
        </row>
        <row r="18">
          <cell r="A18">
            <v>302405</v>
          </cell>
          <cell r="AF18" t="str">
            <v>EN</v>
          </cell>
        </row>
        <row r="19">
          <cell r="A19">
            <v>302228</v>
          </cell>
          <cell r="AF19" t="str">
            <v>NN</v>
          </cell>
        </row>
        <row r="20">
          <cell r="A20">
            <v>294091</v>
          </cell>
          <cell r="AF20" t="str">
            <v>EN</v>
          </cell>
        </row>
        <row r="21">
          <cell r="A21">
            <v>321341</v>
          </cell>
          <cell r="AF21" t="str">
            <v>EN</v>
          </cell>
        </row>
        <row r="22">
          <cell r="A22">
            <v>314616</v>
          </cell>
          <cell r="AF22" t="str">
            <v>EN</v>
          </cell>
        </row>
        <row r="23">
          <cell r="A23">
            <v>318862</v>
          </cell>
          <cell r="AF23" t="str">
            <v>EN</v>
          </cell>
        </row>
        <row r="24">
          <cell r="A24">
            <v>226787</v>
          </cell>
          <cell r="AF24" t="str">
            <v>EN</v>
          </cell>
        </row>
        <row r="25">
          <cell r="A25">
            <v>320477</v>
          </cell>
          <cell r="AF25" t="str">
            <v>EN</v>
          </cell>
        </row>
        <row r="26">
          <cell r="A26">
            <v>321227</v>
          </cell>
          <cell r="AF26" t="str">
            <v>EN</v>
          </cell>
        </row>
        <row r="27">
          <cell r="A27">
            <v>292712</v>
          </cell>
          <cell r="AF27" t="str">
            <v>EN</v>
          </cell>
        </row>
        <row r="28">
          <cell r="A28">
            <v>314755</v>
          </cell>
          <cell r="AF28" t="str">
            <v>EN</v>
          </cell>
        </row>
        <row r="29">
          <cell r="A29">
            <v>315998</v>
          </cell>
          <cell r="AF29" t="str">
            <v>EN</v>
          </cell>
        </row>
        <row r="30">
          <cell r="A30">
            <v>316653</v>
          </cell>
          <cell r="AF30" t="str">
            <v>NN</v>
          </cell>
        </row>
        <row r="31">
          <cell r="A31">
            <v>300218</v>
          </cell>
          <cell r="AF31" t="str">
            <v>EN</v>
          </cell>
        </row>
        <row r="32">
          <cell r="A32">
            <v>293836</v>
          </cell>
          <cell r="AF32" t="str">
            <v>NN</v>
          </cell>
        </row>
        <row r="33">
          <cell r="A33">
            <v>314023</v>
          </cell>
          <cell r="AF33" t="str">
            <v>EN</v>
          </cell>
        </row>
        <row r="34">
          <cell r="A34">
            <v>224652</v>
          </cell>
          <cell r="AF34" t="str">
            <v>EN</v>
          </cell>
        </row>
        <row r="35">
          <cell r="A35">
            <v>297153</v>
          </cell>
          <cell r="AF35" t="str">
            <v>EN</v>
          </cell>
        </row>
        <row r="36">
          <cell r="A36">
            <v>300552</v>
          </cell>
          <cell r="AF36" t="str">
            <v>EN</v>
          </cell>
        </row>
        <row r="37">
          <cell r="A37">
            <v>294264</v>
          </cell>
          <cell r="AF37" t="str">
            <v>EN</v>
          </cell>
        </row>
        <row r="38">
          <cell r="A38">
            <v>291374</v>
          </cell>
          <cell r="AF38" t="str">
            <v>EN</v>
          </cell>
        </row>
        <row r="39">
          <cell r="A39">
            <v>321798</v>
          </cell>
          <cell r="AF39" t="str">
            <v>EN</v>
          </cell>
        </row>
        <row r="40">
          <cell r="A40">
            <v>313423</v>
          </cell>
          <cell r="AF40" t="str">
            <v>EN</v>
          </cell>
        </row>
        <row r="41">
          <cell r="A41">
            <v>287642</v>
          </cell>
          <cell r="AF41" t="str">
            <v>EN</v>
          </cell>
        </row>
        <row r="42">
          <cell r="A42">
            <v>301941</v>
          </cell>
          <cell r="AF42" t="str">
            <v>EN</v>
          </cell>
        </row>
        <row r="43">
          <cell r="A43">
            <v>287195</v>
          </cell>
          <cell r="AF43" t="str">
            <v>EN</v>
          </cell>
        </row>
        <row r="44">
          <cell r="A44">
            <v>291653</v>
          </cell>
          <cell r="AF44" t="str">
            <v>EN</v>
          </cell>
        </row>
        <row r="45">
          <cell r="A45">
            <v>297949</v>
          </cell>
          <cell r="AF45" t="str">
            <v>EN</v>
          </cell>
        </row>
        <row r="46">
          <cell r="A46">
            <v>296786</v>
          </cell>
          <cell r="AF46" t="str">
            <v>EN</v>
          </cell>
        </row>
        <row r="47">
          <cell r="A47">
            <v>301891</v>
          </cell>
          <cell r="AF47" t="str">
            <v>NN</v>
          </cell>
        </row>
        <row r="48">
          <cell r="A48">
            <v>293526</v>
          </cell>
          <cell r="AF48" t="str">
            <v>EN</v>
          </cell>
        </row>
        <row r="49">
          <cell r="A49">
            <v>297568</v>
          </cell>
          <cell r="AF49" t="str">
            <v>EN</v>
          </cell>
        </row>
        <row r="50">
          <cell r="A50">
            <v>269385</v>
          </cell>
          <cell r="AF50" t="str">
            <v>EN</v>
          </cell>
        </row>
        <row r="51">
          <cell r="A51">
            <v>312220</v>
          </cell>
          <cell r="AF51" t="str">
            <v>EN</v>
          </cell>
        </row>
        <row r="52">
          <cell r="A52">
            <v>295539</v>
          </cell>
          <cell r="AF52" t="str">
            <v>EN</v>
          </cell>
        </row>
        <row r="53">
          <cell r="A53">
            <v>298185</v>
          </cell>
          <cell r="AF53" t="str">
            <v>EN</v>
          </cell>
        </row>
        <row r="54">
          <cell r="A54">
            <v>236666</v>
          </cell>
          <cell r="AF54" t="str">
            <v>EN</v>
          </cell>
        </row>
        <row r="55">
          <cell r="A55">
            <v>318549</v>
          </cell>
          <cell r="AF55" t="str">
            <v>NN</v>
          </cell>
        </row>
        <row r="56">
          <cell r="A56">
            <v>319139</v>
          </cell>
          <cell r="AF56" t="str">
            <v>EN</v>
          </cell>
        </row>
        <row r="57">
          <cell r="A57">
            <v>312394</v>
          </cell>
          <cell r="AF57" t="str">
            <v>NN</v>
          </cell>
        </row>
        <row r="58">
          <cell r="A58">
            <v>298944</v>
          </cell>
          <cell r="AF58" t="str">
            <v>EN</v>
          </cell>
        </row>
        <row r="59">
          <cell r="A59">
            <v>316508</v>
          </cell>
          <cell r="AF59" t="str">
            <v>EN</v>
          </cell>
        </row>
        <row r="60">
          <cell r="A60">
            <v>297860</v>
          </cell>
          <cell r="AF60" t="str">
            <v>EN</v>
          </cell>
        </row>
        <row r="61">
          <cell r="A61">
            <v>316901</v>
          </cell>
          <cell r="AF61" t="str">
            <v>EN</v>
          </cell>
        </row>
        <row r="62">
          <cell r="A62">
            <v>293098</v>
          </cell>
          <cell r="AF62" t="str">
            <v>EN</v>
          </cell>
        </row>
        <row r="63">
          <cell r="A63">
            <v>299047</v>
          </cell>
          <cell r="AF63" t="str">
            <v>EN</v>
          </cell>
        </row>
        <row r="64">
          <cell r="A64">
            <v>301979</v>
          </cell>
          <cell r="AF64" t="str">
            <v>EN</v>
          </cell>
        </row>
        <row r="65">
          <cell r="A65">
            <v>276004</v>
          </cell>
          <cell r="AF65" t="str">
            <v>EN</v>
          </cell>
        </row>
        <row r="66">
          <cell r="A66">
            <v>290497</v>
          </cell>
          <cell r="AF66" t="str">
            <v>EN</v>
          </cell>
        </row>
        <row r="67">
          <cell r="A67" t="str">
            <v>Multiple</v>
          </cell>
          <cell r="AF67" t="str">
            <v>EN/NN</v>
          </cell>
        </row>
        <row r="68">
          <cell r="A68">
            <v>302069</v>
          </cell>
          <cell r="AF68" t="str">
            <v>NN</v>
          </cell>
        </row>
        <row r="69">
          <cell r="A69">
            <v>312346</v>
          </cell>
          <cell r="AF69" t="str">
            <v>EN</v>
          </cell>
        </row>
        <row r="70">
          <cell r="A70">
            <v>270807</v>
          </cell>
          <cell r="AF70" t="str">
            <v>EN</v>
          </cell>
        </row>
        <row r="71">
          <cell r="A71">
            <v>248616</v>
          </cell>
          <cell r="AF71" t="str">
            <v>EN</v>
          </cell>
        </row>
        <row r="72">
          <cell r="A72">
            <v>302815</v>
          </cell>
          <cell r="AF72" t="str">
            <v>EN</v>
          </cell>
        </row>
        <row r="73">
          <cell r="A73">
            <v>313901</v>
          </cell>
          <cell r="AF73" t="str">
            <v>EN</v>
          </cell>
        </row>
        <row r="74">
          <cell r="A74">
            <v>316230</v>
          </cell>
          <cell r="AF74" t="str">
            <v>NN</v>
          </cell>
        </row>
        <row r="75">
          <cell r="A75">
            <v>297091</v>
          </cell>
          <cell r="AF75" t="str">
            <v>EN</v>
          </cell>
        </row>
        <row r="76">
          <cell r="A76">
            <v>269872</v>
          </cell>
          <cell r="AF76" t="str">
            <v>EN</v>
          </cell>
        </row>
        <row r="77">
          <cell r="A77">
            <v>318393</v>
          </cell>
          <cell r="AF77" t="str">
            <v>EN</v>
          </cell>
        </row>
        <row r="78">
          <cell r="A78">
            <v>323139</v>
          </cell>
          <cell r="AF78" t="str">
            <v>EN</v>
          </cell>
        </row>
        <row r="79">
          <cell r="A79">
            <v>260282</v>
          </cell>
          <cell r="AF79" t="str">
            <v>EN</v>
          </cell>
        </row>
        <row r="80">
          <cell r="A80">
            <v>273037</v>
          </cell>
          <cell r="AF80" t="str">
            <v>EN</v>
          </cell>
        </row>
        <row r="81">
          <cell r="A81">
            <v>298278</v>
          </cell>
          <cell r="AF81" t="str">
            <v>EN</v>
          </cell>
        </row>
        <row r="82">
          <cell r="A82">
            <v>271306</v>
          </cell>
          <cell r="AF82" t="str">
            <v>EN</v>
          </cell>
        </row>
        <row r="83">
          <cell r="A83">
            <v>244183</v>
          </cell>
          <cell r="AF83" t="str">
            <v>NN</v>
          </cell>
        </row>
        <row r="84">
          <cell r="A84">
            <v>291539</v>
          </cell>
          <cell r="AF84" t="str">
            <v>NN</v>
          </cell>
        </row>
        <row r="85">
          <cell r="A85">
            <v>276909</v>
          </cell>
          <cell r="AF85" t="str">
            <v>EN</v>
          </cell>
        </row>
        <row r="86">
          <cell r="A86">
            <v>255430</v>
          </cell>
          <cell r="AF86" t="str">
            <v>NN</v>
          </cell>
        </row>
        <row r="87">
          <cell r="A87">
            <v>287353</v>
          </cell>
          <cell r="AF87" t="str">
            <v>EN</v>
          </cell>
        </row>
        <row r="88">
          <cell r="A88">
            <v>294970</v>
          </cell>
          <cell r="AF88" t="str">
            <v>EN</v>
          </cell>
        </row>
        <row r="89">
          <cell r="A89">
            <v>313528</v>
          </cell>
          <cell r="AF89" t="str">
            <v>EN</v>
          </cell>
        </row>
        <row r="90">
          <cell r="A90">
            <v>313128</v>
          </cell>
          <cell r="AF90" t="str">
            <v>EN</v>
          </cell>
        </row>
        <row r="91">
          <cell r="A91">
            <v>248344</v>
          </cell>
          <cell r="AF91" t="str">
            <v>EN</v>
          </cell>
        </row>
        <row r="92">
          <cell r="A92">
            <v>293102</v>
          </cell>
          <cell r="AF92" t="str">
            <v>EN</v>
          </cell>
        </row>
        <row r="93">
          <cell r="A93">
            <v>267741</v>
          </cell>
          <cell r="AF93" t="str">
            <v>NN</v>
          </cell>
        </row>
        <row r="94">
          <cell r="A94">
            <v>184676</v>
          </cell>
          <cell r="AF94" t="str">
            <v>EN</v>
          </cell>
        </row>
        <row r="95">
          <cell r="A95">
            <v>298012</v>
          </cell>
          <cell r="AF95" t="str">
            <v>EN</v>
          </cell>
        </row>
        <row r="96">
          <cell r="A96">
            <v>263742</v>
          </cell>
          <cell r="AF96" t="str">
            <v>NN</v>
          </cell>
        </row>
        <row r="97">
          <cell r="A97">
            <v>313529</v>
          </cell>
          <cell r="AF97" t="str">
            <v>EN</v>
          </cell>
        </row>
        <row r="98">
          <cell r="A98">
            <v>319629</v>
          </cell>
          <cell r="AF98" t="str">
            <v>EN</v>
          </cell>
        </row>
        <row r="99">
          <cell r="A99">
            <v>243869</v>
          </cell>
          <cell r="AF99" t="str">
            <v>NN</v>
          </cell>
        </row>
        <row r="100">
          <cell r="A100">
            <v>295407</v>
          </cell>
          <cell r="AF100" t="str">
            <v>EN</v>
          </cell>
        </row>
        <row r="101">
          <cell r="A101">
            <v>258949</v>
          </cell>
          <cell r="AF101" t="str">
            <v>EN</v>
          </cell>
        </row>
        <row r="102">
          <cell r="A102">
            <v>271505</v>
          </cell>
          <cell r="AF102" t="str">
            <v>NN</v>
          </cell>
        </row>
        <row r="103">
          <cell r="A103">
            <v>297188</v>
          </cell>
          <cell r="AF103" t="str">
            <v>EN</v>
          </cell>
        </row>
        <row r="104">
          <cell r="A104">
            <v>302180</v>
          </cell>
          <cell r="AF104" t="str">
            <v>NN</v>
          </cell>
        </row>
        <row r="105">
          <cell r="A105">
            <v>313581</v>
          </cell>
          <cell r="AF105" t="str">
            <v>EN</v>
          </cell>
        </row>
        <row r="106">
          <cell r="A106">
            <v>300802</v>
          </cell>
          <cell r="AF106" t="str">
            <v>EN</v>
          </cell>
        </row>
        <row r="107">
          <cell r="A107">
            <v>276729</v>
          </cell>
        </row>
        <row r="108">
          <cell r="A108">
            <v>314267</v>
          </cell>
        </row>
        <row r="109">
          <cell r="A109">
            <v>292537</v>
          </cell>
          <cell r="AF109" t="str">
            <v>EN</v>
          </cell>
        </row>
        <row r="110">
          <cell r="A110">
            <v>321272</v>
          </cell>
          <cell r="AF110" t="str">
            <v>NN</v>
          </cell>
        </row>
        <row r="111">
          <cell r="A111">
            <v>253373</v>
          </cell>
          <cell r="AF111" t="str">
            <v>NN</v>
          </cell>
        </row>
        <row r="112">
          <cell r="A112">
            <v>321933</v>
          </cell>
          <cell r="AF112" t="str">
            <v>NN</v>
          </cell>
        </row>
        <row r="113">
          <cell r="A113">
            <v>315531</v>
          </cell>
          <cell r="AF113" t="str">
            <v>EN</v>
          </cell>
        </row>
        <row r="114">
          <cell r="A114">
            <v>176533</v>
          </cell>
          <cell r="AF114" t="str">
            <v>EN</v>
          </cell>
        </row>
        <row r="115">
          <cell r="A115">
            <v>297397</v>
          </cell>
          <cell r="AF115" t="str">
            <v>EN</v>
          </cell>
        </row>
        <row r="116">
          <cell r="A116">
            <v>291560</v>
          </cell>
          <cell r="AF116" t="str">
            <v>EN</v>
          </cell>
        </row>
        <row r="117">
          <cell r="A117">
            <v>273007</v>
          </cell>
          <cell r="AF117" t="str">
            <v>EN</v>
          </cell>
        </row>
        <row r="118">
          <cell r="A118">
            <v>311504</v>
          </cell>
          <cell r="AF118" t="str">
            <v>NN</v>
          </cell>
        </row>
        <row r="119">
          <cell r="A119">
            <v>314640</v>
          </cell>
          <cell r="AF119" t="str">
            <v>EN</v>
          </cell>
        </row>
        <row r="120">
          <cell r="A120">
            <v>274038</v>
          </cell>
          <cell r="AF120" t="str">
            <v>EN</v>
          </cell>
        </row>
        <row r="121">
          <cell r="A121">
            <v>296617</v>
          </cell>
          <cell r="AF121" t="str">
            <v>EN</v>
          </cell>
        </row>
        <row r="122">
          <cell r="A122">
            <v>318867</v>
          </cell>
          <cell r="AF122" t="str">
            <v>EN</v>
          </cell>
        </row>
        <row r="123">
          <cell r="A123">
            <v>320560</v>
          </cell>
          <cell r="AF123" t="str">
            <v>EN</v>
          </cell>
        </row>
        <row r="124">
          <cell r="A124">
            <v>255484</v>
          </cell>
          <cell r="AF124" t="str">
            <v>NN</v>
          </cell>
        </row>
        <row r="125">
          <cell r="A125">
            <v>178788</v>
          </cell>
          <cell r="AF125" t="str">
            <v>EN</v>
          </cell>
        </row>
        <row r="126">
          <cell r="A126">
            <v>275446</v>
          </cell>
          <cell r="AF126" t="str">
            <v>EN</v>
          </cell>
        </row>
        <row r="127">
          <cell r="A127">
            <v>291531</v>
          </cell>
          <cell r="AF127" t="str">
            <v>EN</v>
          </cell>
        </row>
        <row r="128">
          <cell r="A128">
            <v>250150</v>
          </cell>
          <cell r="AF128" t="str">
            <v>EN</v>
          </cell>
        </row>
        <row r="129">
          <cell r="A129">
            <v>258823</v>
          </cell>
          <cell r="AF129" t="str">
            <v>EN</v>
          </cell>
        </row>
        <row r="130">
          <cell r="A130">
            <v>258827</v>
          </cell>
          <cell r="AF130" t="str">
            <v>EN</v>
          </cell>
        </row>
        <row r="131">
          <cell r="A131">
            <v>248575</v>
          </cell>
          <cell r="AF131" t="str">
            <v>EN</v>
          </cell>
        </row>
        <row r="132">
          <cell r="A132">
            <v>297531</v>
          </cell>
          <cell r="AF132" t="str">
            <v>EN</v>
          </cell>
        </row>
        <row r="133">
          <cell r="A133">
            <v>294947</v>
          </cell>
          <cell r="AF133" t="str">
            <v>EN</v>
          </cell>
        </row>
        <row r="134">
          <cell r="A134">
            <v>249728</v>
          </cell>
          <cell r="AF134" t="str">
            <v>NN</v>
          </cell>
        </row>
        <row r="135">
          <cell r="A135">
            <v>303811</v>
          </cell>
          <cell r="AF135" t="str">
            <v>EN</v>
          </cell>
        </row>
        <row r="136">
          <cell r="A136">
            <v>287606</v>
          </cell>
          <cell r="AF136" t="str">
            <v>EN</v>
          </cell>
        </row>
        <row r="137">
          <cell r="A137">
            <v>292543</v>
          </cell>
          <cell r="AF137" t="str">
            <v>EN</v>
          </cell>
        </row>
        <row r="138">
          <cell r="A138">
            <v>294845</v>
          </cell>
          <cell r="AF138" t="str">
            <v>NN</v>
          </cell>
        </row>
        <row r="139">
          <cell r="A139">
            <v>311056</v>
          </cell>
          <cell r="AF139" t="str">
            <v>EN</v>
          </cell>
        </row>
        <row r="140">
          <cell r="A140">
            <v>300135</v>
          </cell>
          <cell r="AF140" t="str">
            <v>EN</v>
          </cell>
        </row>
        <row r="141">
          <cell r="A141">
            <v>302604</v>
          </cell>
          <cell r="AF141" t="str">
            <v>NN</v>
          </cell>
        </row>
        <row r="142">
          <cell r="A142">
            <v>320539</v>
          </cell>
          <cell r="AF142" t="str">
            <v>EN</v>
          </cell>
        </row>
        <row r="143">
          <cell r="A143">
            <v>314631</v>
          </cell>
        </row>
        <row r="144">
          <cell r="A144">
            <v>276106</v>
          </cell>
          <cell r="AF144" t="str">
            <v>EN</v>
          </cell>
        </row>
        <row r="145">
          <cell r="A145">
            <v>314418</v>
          </cell>
          <cell r="AF145" t="str">
            <v>EN</v>
          </cell>
        </row>
        <row r="146">
          <cell r="A146">
            <v>314201</v>
          </cell>
          <cell r="AF146" t="str">
            <v>EN</v>
          </cell>
        </row>
        <row r="147">
          <cell r="A147">
            <v>301432</v>
          </cell>
        </row>
        <row r="148">
          <cell r="A148">
            <v>313654</v>
          </cell>
          <cell r="AF148" t="str">
            <v>EN</v>
          </cell>
        </row>
        <row r="149">
          <cell r="A149">
            <v>297795</v>
          </cell>
          <cell r="AF149" t="str">
            <v>NN</v>
          </cell>
        </row>
        <row r="150">
          <cell r="A150">
            <v>298028</v>
          </cell>
          <cell r="AF150" t="str">
            <v>NN</v>
          </cell>
        </row>
        <row r="151">
          <cell r="A151">
            <v>301990</v>
          </cell>
          <cell r="AF151" t="str">
            <v>NN</v>
          </cell>
        </row>
        <row r="152">
          <cell r="A152">
            <v>315453</v>
          </cell>
        </row>
        <row r="153">
          <cell r="A153">
            <v>297383</v>
          </cell>
          <cell r="AF153" t="str">
            <v>EN</v>
          </cell>
        </row>
        <row r="154">
          <cell r="A154">
            <v>314383</v>
          </cell>
          <cell r="AF154" t="str">
            <v>EN</v>
          </cell>
        </row>
        <row r="155">
          <cell r="A155">
            <v>321016</v>
          </cell>
          <cell r="AF155" t="str">
            <v>NN</v>
          </cell>
        </row>
        <row r="156">
          <cell r="A156">
            <v>321853</v>
          </cell>
          <cell r="AF156" t="str">
            <v>EN</v>
          </cell>
        </row>
        <row r="157">
          <cell r="A157">
            <v>267152</v>
          </cell>
          <cell r="AF157" t="str">
            <v>EN</v>
          </cell>
        </row>
        <row r="158">
          <cell r="A158">
            <v>316408</v>
          </cell>
          <cell r="AF158" t="str">
            <v>EN</v>
          </cell>
        </row>
        <row r="159">
          <cell r="A159">
            <v>250032</v>
          </cell>
          <cell r="AF159" t="str">
            <v>EN</v>
          </cell>
        </row>
        <row r="160">
          <cell r="A160">
            <v>300429</v>
          </cell>
          <cell r="AF160" t="str">
            <v>EN</v>
          </cell>
        </row>
        <row r="161">
          <cell r="A161">
            <v>215511</v>
          </cell>
          <cell r="AF161" t="str">
            <v>EN</v>
          </cell>
        </row>
        <row r="162">
          <cell r="A162">
            <v>302951</v>
          </cell>
          <cell r="AF162" t="str">
            <v>EN</v>
          </cell>
        </row>
        <row r="163">
          <cell r="A163">
            <v>312214</v>
          </cell>
          <cell r="AF163" t="str">
            <v>NN</v>
          </cell>
        </row>
        <row r="164">
          <cell r="A164">
            <v>320921</v>
          </cell>
          <cell r="AF164" t="str">
            <v>EN</v>
          </cell>
        </row>
        <row r="165">
          <cell r="A165">
            <v>246421</v>
          </cell>
          <cell r="AF165" t="str">
            <v>EN</v>
          </cell>
        </row>
        <row r="166">
          <cell r="A166">
            <v>315277</v>
          </cell>
        </row>
        <row r="167">
          <cell r="A167">
            <v>287121</v>
          </cell>
          <cell r="AF167" t="str">
            <v>EN</v>
          </cell>
        </row>
        <row r="168">
          <cell r="A168">
            <v>312443</v>
          </cell>
          <cell r="AF168" t="str">
            <v>NN</v>
          </cell>
        </row>
        <row r="169">
          <cell r="A169">
            <v>287599</v>
          </cell>
          <cell r="AF169" t="str">
            <v>EN</v>
          </cell>
        </row>
        <row r="170">
          <cell r="A170">
            <v>314185</v>
          </cell>
          <cell r="AF170" t="str">
            <v>EN</v>
          </cell>
        </row>
        <row r="171">
          <cell r="A171">
            <v>292878</v>
          </cell>
          <cell r="AF171" t="str">
            <v>NN</v>
          </cell>
        </row>
        <row r="172">
          <cell r="A172">
            <v>300149</v>
          </cell>
          <cell r="AF172" t="str">
            <v>EN</v>
          </cell>
        </row>
        <row r="173">
          <cell r="A173">
            <v>263394</v>
          </cell>
          <cell r="AF173" t="str">
            <v>NN</v>
          </cell>
        </row>
        <row r="174">
          <cell r="A174">
            <v>287766</v>
          </cell>
          <cell r="AF174" t="str">
            <v>EN</v>
          </cell>
        </row>
        <row r="175">
          <cell r="A175">
            <v>293688</v>
          </cell>
          <cell r="AF175" t="str">
            <v>EN</v>
          </cell>
        </row>
        <row r="176">
          <cell r="A176">
            <v>264866</v>
          </cell>
          <cell r="AF176" t="str">
            <v>NN</v>
          </cell>
        </row>
        <row r="177">
          <cell r="A177">
            <v>312952</v>
          </cell>
          <cell r="AF177" t="str">
            <v>EN</v>
          </cell>
        </row>
        <row r="178">
          <cell r="A178">
            <v>302002</v>
          </cell>
          <cell r="AF178" t="str">
            <v>EN</v>
          </cell>
        </row>
        <row r="179">
          <cell r="A179">
            <v>312883</v>
          </cell>
          <cell r="AF179" t="str">
            <v>EN</v>
          </cell>
        </row>
        <row r="180">
          <cell r="A180">
            <v>313878</v>
          </cell>
          <cell r="AF180" t="str">
            <v>NN</v>
          </cell>
        </row>
        <row r="181">
          <cell r="A181">
            <v>294599</v>
          </cell>
          <cell r="AF181" t="str">
            <v>NN</v>
          </cell>
        </row>
        <row r="182">
          <cell r="A182">
            <v>270676</v>
          </cell>
        </row>
        <row r="183">
          <cell r="A183">
            <v>314232</v>
          </cell>
          <cell r="AF183" t="str">
            <v>EN</v>
          </cell>
        </row>
        <row r="184">
          <cell r="A184">
            <v>315012</v>
          </cell>
          <cell r="AF184" t="str">
            <v>EN</v>
          </cell>
        </row>
        <row r="185">
          <cell r="A185">
            <v>319587</v>
          </cell>
          <cell r="AF185" t="str">
            <v>EN</v>
          </cell>
        </row>
        <row r="186">
          <cell r="A186">
            <v>314581</v>
          </cell>
          <cell r="AF186" t="str">
            <v>EN</v>
          </cell>
        </row>
        <row r="187">
          <cell r="A187">
            <v>291479</v>
          </cell>
          <cell r="AF187" t="str">
            <v>EN</v>
          </cell>
        </row>
        <row r="188">
          <cell r="A188">
            <v>319494</v>
          </cell>
          <cell r="AF188" t="str">
            <v>EN</v>
          </cell>
        </row>
        <row r="189">
          <cell r="A189">
            <v>303000</v>
          </cell>
          <cell r="AF189" t="str">
            <v>EN</v>
          </cell>
        </row>
        <row r="190">
          <cell r="A190">
            <v>313419</v>
          </cell>
          <cell r="AF190" t="str">
            <v>NN</v>
          </cell>
        </row>
        <row r="191">
          <cell r="A191">
            <v>316137</v>
          </cell>
          <cell r="AF191" t="str">
            <v>EN</v>
          </cell>
        </row>
        <row r="192">
          <cell r="A192" t="str">
            <v>TBD1</v>
          </cell>
          <cell r="AF192" t="str">
            <v>NN</v>
          </cell>
        </row>
        <row r="193">
          <cell r="A193">
            <v>312046</v>
          </cell>
          <cell r="AF193" t="str">
            <v>NN</v>
          </cell>
        </row>
        <row r="194">
          <cell r="A194">
            <v>193438</v>
          </cell>
          <cell r="AF194" t="str">
            <v>EN</v>
          </cell>
        </row>
        <row r="195">
          <cell r="A195">
            <v>313309</v>
          </cell>
          <cell r="AF195" t="str">
            <v>NN</v>
          </cell>
        </row>
        <row r="196">
          <cell r="A196">
            <v>295485</v>
          </cell>
          <cell r="AF196" t="str">
            <v>NN</v>
          </cell>
        </row>
        <row r="197">
          <cell r="A197">
            <v>313096</v>
          </cell>
          <cell r="AF197" t="str">
            <v>EN</v>
          </cell>
        </row>
        <row r="198">
          <cell r="A198">
            <v>301550</v>
          </cell>
          <cell r="AF198" t="str">
            <v>EN</v>
          </cell>
        </row>
        <row r="199">
          <cell r="A199">
            <v>263166</v>
          </cell>
          <cell r="AF199" t="str">
            <v>EN</v>
          </cell>
        </row>
        <row r="200">
          <cell r="A200">
            <v>319525</v>
          </cell>
          <cell r="AF200" t="str">
            <v>EN</v>
          </cell>
        </row>
        <row r="201">
          <cell r="A201">
            <v>308926</v>
          </cell>
        </row>
        <row r="202">
          <cell r="A202">
            <v>311511</v>
          </cell>
          <cell r="AF202" t="str">
            <v>EN</v>
          </cell>
        </row>
        <row r="203">
          <cell r="A203">
            <v>311281</v>
          </cell>
          <cell r="AF203" t="str">
            <v>EN</v>
          </cell>
        </row>
        <row r="204">
          <cell r="A204">
            <v>294614</v>
          </cell>
          <cell r="AF204" t="str">
            <v>EN</v>
          </cell>
        </row>
        <row r="205">
          <cell r="A205">
            <v>319526</v>
          </cell>
          <cell r="AF205" t="str">
            <v>EN</v>
          </cell>
        </row>
        <row r="206">
          <cell r="A206">
            <v>319868</v>
          </cell>
          <cell r="AF206" t="str">
            <v>EN</v>
          </cell>
        </row>
        <row r="207">
          <cell r="A207">
            <v>323283</v>
          </cell>
          <cell r="AF207" t="str">
            <v>EN</v>
          </cell>
        </row>
        <row r="208">
          <cell r="A208">
            <v>270937</v>
          </cell>
          <cell r="AF208" t="str">
            <v>NN</v>
          </cell>
        </row>
        <row r="209">
          <cell r="A209">
            <v>292512</v>
          </cell>
          <cell r="AF209" t="str">
            <v>EN</v>
          </cell>
        </row>
        <row r="210">
          <cell r="A210">
            <v>245938</v>
          </cell>
          <cell r="AF210" t="str">
            <v>EN</v>
          </cell>
        </row>
        <row r="211">
          <cell r="A211" t="str">
            <v>TBD2</v>
          </cell>
          <cell r="AF211" t="str">
            <v>EN</v>
          </cell>
        </row>
        <row r="212">
          <cell r="A212">
            <v>303064</v>
          </cell>
          <cell r="AF212" t="str">
            <v>EN</v>
          </cell>
        </row>
        <row r="213">
          <cell r="A213">
            <v>300647</v>
          </cell>
          <cell r="AF213" t="str">
            <v>EN</v>
          </cell>
        </row>
        <row r="214">
          <cell r="A214">
            <v>293407</v>
          </cell>
          <cell r="AF214" t="str">
            <v>EN</v>
          </cell>
        </row>
        <row r="215">
          <cell r="A215">
            <v>313257</v>
          </cell>
          <cell r="AF215" t="str">
            <v>EN</v>
          </cell>
        </row>
        <row r="216">
          <cell r="A216">
            <v>301905</v>
          </cell>
          <cell r="AF216" t="str">
            <v>EN</v>
          </cell>
        </row>
        <row r="217">
          <cell r="A217">
            <v>223079</v>
          </cell>
          <cell r="AF217" t="str">
            <v>EN</v>
          </cell>
        </row>
        <row r="218">
          <cell r="A218">
            <v>259601</v>
          </cell>
          <cell r="AF218" t="str">
            <v>EN</v>
          </cell>
        </row>
        <row r="219">
          <cell r="A219">
            <v>301060</v>
          </cell>
          <cell r="AF219" t="str">
            <v>EN</v>
          </cell>
        </row>
        <row r="220">
          <cell r="A220">
            <v>287391</v>
          </cell>
          <cell r="AF220" t="str">
            <v>EN</v>
          </cell>
        </row>
        <row r="221">
          <cell r="A221">
            <v>321832</v>
          </cell>
          <cell r="AF221" t="str">
            <v>EN</v>
          </cell>
        </row>
        <row r="222">
          <cell r="A222">
            <v>297563</v>
          </cell>
          <cell r="AF222" t="str">
            <v>NN</v>
          </cell>
        </row>
        <row r="223">
          <cell r="A223">
            <v>300122</v>
          </cell>
          <cell r="AF223" t="str">
            <v>EN</v>
          </cell>
        </row>
        <row r="224">
          <cell r="A224">
            <v>275802</v>
          </cell>
          <cell r="AF224" t="str">
            <v>NN</v>
          </cell>
        </row>
        <row r="225">
          <cell r="A225">
            <v>271373</v>
          </cell>
          <cell r="AF225" t="str">
            <v>EN</v>
          </cell>
        </row>
        <row r="226">
          <cell r="A226">
            <v>302671</v>
          </cell>
          <cell r="AF226" t="str">
            <v>NN</v>
          </cell>
        </row>
        <row r="227">
          <cell r="A227">
            <v>300108</v>
          </cell>
          <cell r="AF227" t="str">
            <v>EN</v>
          </cell>
        </row>
        <row r="228">
          <cell r="A228">
            <v>258331</v>
          </cell>
          <cell r="AF228" t="str">
            <v>EN</v>
          </cell>
        </row>
        <row r="229">
          <cell r="A229">
            <v>312209</v>
          </cell>
          <cell r="AF229" t="str">
            <v>EN</v>
          </cell>
        </row>
        <row r="230">
          <cell r="A230">
            <v>314137</v>
          </cell>
          <cell r="AF230" t="str">
            <v>NN</v>
          </cell>
        </row>
        <row r="231">
          <cell r="A231">
            <v>312789</v>
          </cell>
          <cell r="AF231" t="str">
            <v>EN</v>
          </cell>
        </row>
        <row r="232">
          <cell r="A232">
            <v>302386</v>
          </cell>
          <cell r="AF232" t="str">
            <v>EN</v>
          </cell>
        </row>
        <row r="233">
          <cell r="A233">
            <v>270798</v>
          </cell>
          <cell r="AF233" t="str">
            <v>NN</v>
          </cell>
        </row>
        <row r="234">
          <cell r="A234">
            <v>316402</v>
          </cell>
          <cell r="AF234" t="str">
            <v>EN</v>
          </cell>
        </row>
        <row r="235">
          <cell r="A235">
            <v>294068</v>
          </cell>
          <cell r="AF235" t="str">
            <v>EN</v>
          </cell>
        </row>
        <row r="236">
          <cell r="A236">
            <v>298431</v>
          </cell>
        </row>
        <row r="237">
          <cell r="A237">
            <v>295418</v>
          </cell>
          <cell r="AF237" t="str">
            <v>EN</v>
          </cell>
        </row>
        <row r="238">
          <cell r="A238">
            <v>287041</v>
          </cell>
          <cell r="AF238" t="str">
            <v>EN</v>
          </cell>
        </row>
        <row r="239">
          <cell r="A239">
            <v>314869</v>
          </cell>
          <cell r="AF239" t="str">
            <v>EN</v>
          </cell>
        </row>
        <row r="240">
          <cell r="A240">
            <v>297266</v>
          </cell>
          <cell r="AF240" t="str">
            <v>EN</v>
          </cell>
        </row>
        <row r="241">
          <cell r="A241">
            <v>314384</v>
          </cell>
          <cell r="AF241" t="str">
            <v>EN</v>
          </cell>
        </row>
        <row r="242">
          <cell r="A242">
            <v>293672</v>
          </cell>
          <cell r="AF242" t="str">
            <v>NN</v>
          </cell>
        </row>
        <row r="243">
          <cell r="A243">
            <v>316843</v>
          </cell>
          <cell r="AF243" t="str">
            <v>EN</v>
          </cell>
        </row>
        <row r="244">
          <cell r="A244">
            <v>319420</v>
          </cell>
          <cell r="AF244" t="str">
            <v>EN</v>
          </cell>
        </row>
        <row r="245">
          <cell r="A245">
            <v>245513</v>
          </cell>
          <cell r="AF245" t="str">
            <v>NN</v>
          </cell>
        </row>
        <row r="246">
          <cell r="A246">
            <v>300834</v>
          </cell>
          <cell r="AF246" t="str">
            <v>EN</v>
          </cell>
        </row>
        <row r="247">
          <cell r="A247">
            <v>298157</v>
          </cell>
          <cell r="AF247" t="str">
            <v>NN</v>
          </cell>
        </row>
        <row r="248">
          <cell r="A248">
            <v>321649</v>
          </cell>
          <cell r="AF248" t="str">
            <v>EN</v>
          </cell>
        </row>
        <row r="249">
          <cell r="A249">
            <v>321842</v>
          </cell>
          <cell r="AF249" t="str">
            <v>EN</v>
          </cell>
        </row>
        <row r="250">
          <cell r="A250">
            <v>323233</v>
          </cell>
          <cell r="AF250" t="str">
            <v>EN</v>
          </cell>
        </row>
        <row r="251">
          <cell r="A251">
            <v>275069</v>
          </cell>
          <cell r="AF251" t="str">
            <v>EN</v>
          </cell>
        </row>
        <row r="252">
          <cell r="A252">
            <v>325247</v>
          </cell>
          <cell r="AF252" t="str">
            <v>EN</v>
          </cell>
        </row>
        <row r="253">
          <cell r="A253" t="str">
            <v>TBC</v>
          </cell>
          <cell r="AF253" t="str">
            <v>NN</v>
          </cell>
        </row>
        <row r="254">
          <cell r="A254">
            <v>203951</v>
          </cell>
          <cell r="AF254" t="str">
            <v>EN</v>
          </cell>
        </row>
        <row r="255">
          <cell r="A255">
            <v>287699</v>
          </cell>
          <cell r="AF255" t="str">
            <v>EN</v>
          </cell>
        </row>
        <row r="256">
          <cell r="A256">
            <v>297095</v>
          </cell>
          <cell r="AF256" t="str">
            <v>EN</v>
          </cell>
        </row>
        <row r="257">
          <cell r="A257">
            <v>302628</v>
          </cell>
          <cell r="AF257" t="str">
            <v>EN</v>
          </cell>
        </row>
        <row r="258">
          <cell r="A258">
            <v>315347</v>
          </cell>
          <cell r="AF258" t="str">
            <v>NN</v>
          </cell>
        </row>
        <row r="259">
          <cell r="A259">
            <v>297193</v>
          </cell>
          <cell r="AF259" t="str">
            <v>EN</v>
          </cell>
        </row>
        <row r="260">
          <cell r="A260">
            <v>292875</v>
          </cell>
          <cell r="AF260" t="str">
            <v>EN</v>
          </cell>
        </row>
        <row r="261">
          <cell r="A261">
            <v>320588</v>
          </cell>
          <cell r="AF261" t="str">
            <v>NN</v>
          </cell>
        </row>
        <row r="262">
          <cell r="A262">
            <v>311987</v>
          </cell>
          <cell r="AF262" t="str">
            <v>NN</v>
          </cell>
        </row>
        <row r="263">
          <cell r="A263">
            <v>296568</v>
          </cell>
          <cell r="AF263" t="str">
            <v>EN</v>
          </cell>
        </row>
        <row r="264">
          <cell r="A264">
            <v>313462</v>
          </cell>
          <cell r="AF264" t="str">
            <v>EN</v>
          </cell>
        </row>
        <row r="265">
          <cell r="A265">
            <v>277260</v>
          </cell>
          <cell r="AF265" t="str">
            <v>EN</v>
          </cell>
        </row>
        <row r="266">
          <cell r="A266">
            <v>269427</v>
          </cell>
          <cell r="AF266" t="str">
            <v>EN</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row r="1">
          <cell r="A1" t="str">
            <v>CRM ID</v>
          </cell>
          <cell r="AD1" t="str">
            <v>Type of Business</v>
          </cell>
        </row>
        <row r="2">
          <cell r="A2">
            <v>263919</v>
          </cell>
          <cell r="AD2" t="str">
            <v>EN</v>
          </cell>
        </row>
        <row r="3">
          <cell r="A3">
            <v>243607</v>
          </cell>
          <cell r="AD3" t="str">
            <v>EN</v>
          </cell>
        </row>
        <row r="4">
          <cell r="A4">
            <v>290509</v>
          </cell>
          <cell r="AD4" t="str">
            <v>EN</v>
          </cell>
        </row>
        <row r="5">
          <cell r="A5">
            <v>264787</v>
          </cell>
          <cell r="AD5" t="str">
            <v>EN</v>
          </cell>
        </row>
        <row r="6">
          <cell r="A6">
            <v>256394</v>
          </cell>
          <cell r="AD6" t="str">
            <v>NN</v>
          </cell>
        </row>
        <row r="7">
          <cell r="A7">
            <v>270551</v>
          </cell>
          <cell r="AD7" t="str">
            <v>EN</v>
          </cell>
        </row>
        <row r="8">
          <cell r="A8">
            <v>265724</v>
          </cell>
          <cell r="AD8" t="str">
            <v>EN</v>
          </cell>
        </row>
        <row r="9">
          <cell r="A9">
            <v>218995</v>
          </cell>
          <cell r="AD9" t="str">
            <v>NN</v>
          </cell>
        </row>
        <row r="10">
          <cell r="A10">
            <v>257780</v>
          </cell>
          <cell r="AD10" t="str">
            <v>EN</v>
          </cell>
        </row>
        <row r="11">
          <cell r="A11">
            <v>250273</v>
          </cell>
          <cell r="AD11" t="str">
            <v>EN</v>
          </cell>
        </row>
        <row r="12">
          <cell r="A12">
            <v>245875</v>
          </cell>
          <cell r="AD12" t="str">
            <v>EN</v>
          </cell>
        </row>
        <row r="13">
          <cell r="A13">
            <v>298935</v>
          </cell>
          <cell r="AD13" t="str">
            <v>NN</v>
          </cell>
        </row>
        <row r="14">
          <cell r="A14">
            <v>294569</v>
          </cell>
          <cell r="AD14" t="str">
            <v>EN</v>
          </cell>
        </row>
        <row r="15">
          <cell r="A15">
            <v>243049</v>
          </cell>
          <cell r="AD15" t="str">
            <v>EN</v>
          </cell>
        </row>
        <row r="16">
          <cell r="A16">
            <v>246355</v>
          </cell>
          <cell r="AD16" t="str">
            <v>NN</v>
          </cell>
        </row>
        <row r="17">
          <cell r="A17">
            <v>261294</v>
          </cell>
          <cell r="AD17" t="str">
            <v>EN</v>
          </cell>
        </row>
        <row r="18">
          <cell r="A18">
            <v>295218</v>
          </cell>
          <cell r="AD18" t="str">
            <v>NN</v>
          </cell>
        </row>
        <row r="19">
          <cell r="A19">
            <v>248998</v>
          </cell>
          <cell r="AD19" t="str">
            <v>EN</v>
          </cell>
        </row>
        <row r="20">
          <cell r="A20">
            <v>248616</v>
          </cell>
          <cell r="AD20" t="str">
            <v>EN</v>
          </cell>
        </row>
        <row r="21">
          <cell r="A21">
            <v>263907</v>
          </cell>
          <cell r="AD21" t="str">
            <v>NN</v>
          </cell>
        </row>
        <row r="22">
          <cell r="A22">
            <v>277502</v>
          </cell>
          <cell r="AD22" t="str">
            <v>NN</v>
          </cell>
        </row>
        <row r="23">
          <cell r="A23">
            <v>259278</v>
          </cell>
          <cell r="AD23" t="str">
            <v>EN</v>
          </cell>
        </row>
        <row r="24">
          <cell r="A24">
            <v>281912</v>
          </cell>
          <cell r="AD24" t="str">
            <v>NN</v>
          </cell>
        </row>
        <row r="25">
          <cell r="A25">
            <v>287922</v>
          </cell>
          <cell r="AD25" t="str">
            <v>EN</v>
          </cell>
        </row>
        <row r="26">
          <cell r="A26">
            <v>275515</v>
          </cell>
          <cell r="AD26" t="str">
            <v>EN</v>
          </cell>
        </row>
        <row r="27">
          <cell r="A27">
            <v>258888</v>
          </cell>
          <cell r="AD27" t="str">
            <v>EN</v>
          </cell>
        </row>
        <row r="28">
          <cell r="A28">
            <v>290302</v>
          </cell>
          <cell r="AD28" t="str">
            <v>EN</v>
          </cell>
        </row>
        <row r="29">
          <cell r="A29">
            <v>199713</v>
          </cell>
          <cell r="AD29" t="str">
            <v>EN</v>
          </cell>
        </row>
        <row r="30">
          <cell r="A30">
            <v>193677</v>
          </cell>
          <cell r="AD30" t="str">
            <v>EN</v>
          </cell>
        </row>
        <row r="31">
          <cell r="A31">
            <v>258557</v>
          </cell>
          <cell r="AD31" t="str">
            <v>EN</v>
          </cell>
        </row>
        <row r="32">
          <cell r="A32">
            <v>292205</v>
          </cell>
          <cell r="AD32" t="str">
            <v>NN</v>
          </cell>
        </row>
        <row r="33">
          <cell r="A33">
            <v>291711</v>
          </cell>
          <cell r="AD33" t="str">
            <v>EN</v>
          </cell>
        </row>
        <row r="34">
          <cell r="A34">
            <v>248520</v>
          </cell>
          <cell r="AD34" t="str">
            <v>EN</v>
          </cell>
        </row>
        <row r="35">
          <cell r="A35">
            <v>259256</v>
          </cell>
          <cell r="AD35" t="str">
            <v>NN</v>
          </cell>
        </row>
        <row r="36">
          <cell r="A36">
            <v>238491</v>
          </cell>
          <cell r="AD36" t="str">
            <v>EN</v>
          </cell>
        </row>
        <row r="37">
          <cell r="A37">
            <v>302940</v>
          </cell>
          <cell r="AD37" t="str">
            <v>EN</v>
          </cell>
        </row>
        <row r="38">
          <cell r="A38">
            <v>214766</v>
          </cell>
          <cell r="AD38" t="str">
            <v>EN</v>
          </cell>
        </row>
        <row r="39">
          <cell r="A39">
            <v>262750</v>
          </cell>
          <cell r="AD39" t="str">
            <v>EN</v>
          </cell>
        </row>
        <row r="40">
          <cell r="A40">
            <v>273726</v>
          </cell>
          <cell r="AD40" t="str">
            <v>NN</v>
          </cell>
        </row>
        <row r="41">
          <cell r="A41">
            <v>269568</v>
          </cell>
          <cell r="AD41" t="str">
            <v>NN</v>
          </cell>
        </row>
        <row r="42">
          <cell r="A42">
            <v>225058</v>
          </cell>
          <cell r="AD42" t="str">
            <v>EN</v>
          </cell>
        </row>
        <row r="43">
          <cell r="A43">
            <v>263767</v>
          </cell>
          <cell r="AD43" t="str">
            <v>EN</v>
          </cell>
        </row>
        <row r="44">
          <cell r="A44">
            <v>230871</v>
          </cell>
          <cell r="AD44" t="str">
            <v>EN</v>
          </cell>
        </row>
        <row r="45">
          <cell r="A45">
            <v>133706</v>
          </cell>
          <cell r="AD45" t="str">
            <v>NN</v>
          </cell>
        </row>
        <row r="46">
          <cell r="A46">
            <v>273931</v>
          </cell>
          <cell r="AD46" t="str">
            <v>NN</v>
          </cell>
        </row>
        <row r="47">
          <cell r="A47">
            <v>265721</v>
          </cell>
          <cell r="AD47" t="str">
            <v>EN</v>
          </cell>
        </row>
        <row r="48">
          <cell r="A48">
            <v>241345</v>
          </cell>
          <cell r="AD48" t="str">
            <v>EN</v>
          </cell>
        </row>
        <row r="49">
          <cell r="A49">
            <v>250184</v>
          </cell>
          <cell r="AD49" t="str">
            <v>EN</v>
          </cell>
        </row>
        <row r="50">
          <cell r="A50">
            <v>258889</v>
          </cell>
          <cell r="AD50" t="str">
            <v>EN</v>
          </cell>
        </row>
        <row r="51">
          <cell r="A51">
            <v>270396</v>
          </cell>
          <cell r="AD51" t="str">
            <v>NN</v>
          </cell>
        </row>
        <row r="52">
          <cell r="A52">
            <v>269665</v>
          </cell>
          <cell r="AD52" t="str">
            <v>EN</v>
          </cell>
        </row>
        <row r="53">
          <cell r="A53">
            <v>276645</v>
          </cell>
          <cell r="AD53" t="str">
            <v>EN</v>
          </cell>
        </row>
        <row r="54">
          <cell r="A54">
            <v>270135</v>
          </cell>
          <cell r="AD54" t="str">
            <v>NN</v>
          </cell>
        </row>
        <row r="55">
          <cell r="A55">
            <v>294814</v>
          </cell>
          <cell r="AD55" t="str">
            <v>EN</v>
          </cell>
        </row>
        <row r="56">
          <cell r="A56">
            <v>218886</v>
          </cell>
          <cell r="AD56" t="str">
            <v>EN</v>
          </cell>
        </row>
        <row r="57">
          <cell r="A57">
            <v>250413</v>
          </cell>
          <cell r="AD57" t="str">
            <v>EN</v>
          </cell>
        </row>
        <row r="58">
          <cell r="A58">
            <v>270829</v>
          </cell>
          <cell r="AD58" t="str">
            <v>EN</v>
          </cell>
        </row>
        <row r="59">
          <cell r="A59">
            <v>267502</v>
          </cell>
          <cell r="AD59" t="str">
            <v>EN</v>
          </cell>
        </row>
        <row r="60">
          <cell r="A60">
            <v>273033</v>
          </cell>
          <cell r="AD60" t="str">
            <v>EN</v>
          </cell>
        </row>
        <row r="61">
          <cell r="A61">
            <v>225357</v>
          </cell>
          <cell r="AD61" t="str">
            <v>EN</v>
          </cell>
        </row>
        <row r="62">
          <cell r="A62">
            <v>262877</v>
          </cell>
          <cell r="AD62" t="str">
            <v>EN</v>
          </cell>
        </row>
        <row r="63">
          <cell r="A63">
            <v>230835</v>
          </cell>
          <cell r="AD63" t="str">
            <v>EN</v>
          </cell>
        </row>
        <row r="64">
          <cell r="A64">
            <v>247034</v>
          </cell>
          <cell r="AD64" t="str">
            <v>NN</v>
          </cell>
        </row>
        <row r="65">
          <cell r="A65">
            <v>269958</v>
          </cell>
          <cell r="AD65" t="str">
            <v>NN</v>
          </cell>
        </row>
        <row r="66">
          <cell r="A66">
            <v>269268</v>
          </cell>
          <cell r="AD66" t="str">
            <v>EN</v>
          </cell>
        </row>
        <row r="67">
          <cell r="A67">
            <v>259800</v>
          </cell>
          <cell r="AD67" t="str">
            <v>NN</v>
          </cell>
        </row>
        <row r="68">
          <cell r="A68">
            <v>288119</v>
          </cell>
          <cell r="AD68" t="str">
            <v>NN</v>
          </cell>
        </row>
        <row r="69">
          <cell r="A69">
            <v>270733</v>
          </cell>
          <cell r="AD69" t="str">
            <v>EN</v>
          </cell>
        </row>
        <row r="70">
          <cell r="A70">
            <v>274290</v>
          </cell>
          <cell r="AD70" t="str">
            <v>NN</v>
          </cell>
        </row>
        <row r="71">
          <cell r="A71">
            <v>256152</v>
          </cell>
          <cell r="AD71" t="str">
            <v>NN</v>
          </cell>
        </row>
        <row r="72">
          <cell r="A72">
            <v>237285</v>
          </cell>
          <cell r="AD72" t="str">
            <v>NN</v>
          </cell>
        </row>
        <row r="73">
          <cell r="A73">
            <v>243703</v>
          </cell>
          <cell r="AD73" t="str">
            <v>EN</v>
          </cell>
        </row>
        <row r="74">
          <cell r="A74">
            <v>237223</v>
          </cell>
          <cell r="AD74" t="str">
            <v>EN</v>
          </cell>
        </row>
        <row r="75">
          <cell r="A75">
            <v>219327</v>
          </cell>
          <cell r="AD75" t="str">
            <v>EN</v>
          </cell>
        </row>
        <row r="76">
          <cell r="A76">
            <v>111832</v>
          </cell>
          <cell r="AD76" t="str">
            <v>EN</v>
          </cell>
        </row>
        <row r="77">
          <cell r="A77">
            <v>259291</v>
          </cell>
          <cell r="AD77" t="str">
            <v>EN</v>
          </cell>
        </row>
        <row r="78">
          <cell r="A78" t="str">
            <v>Unknown</v>
          </cell>
          <cell r="AD78" t="str">
            <v>EN</v>
          </cell>
        </row>
        <row r="79">
          <cell r="A79">
            <v>260129</v>
          </cell>
          <cell r="AD79" t="str">
            <v>EN</v>
          </cell>
        </row>
        <row r="80">
          <cell r="A80">
            <v>260585</v>
          </cell>
          <cell r="AD80" t="str">
            <v>EN</v>
          </cell>
        </row>
        <row r="81">
          <cell r="A81">
            <v>273209</v>
          </cell>
          <cell r="AD81" t="str">
            <v>EN</v>
          </cell>
        </row>
        <row r="82">
          <cell r="A82">
            <v>267645</v>
          </cell>
          <cell r="AD82" t="str">
            <v>NN</v>
          </cell>
        </row>
        <row r="83">
          <cell r="A83">
            <v>261223</v>
          </cell>
          <cell r="AD83" t="str">
            <v>NN</v>
          </cell>
        </row>
        <row r="84">
          <cell r="A84">
            <v>270366</v>
          </cell>
          <cell r="AD84" t="str">
            <v>EN</v>
          </cell>
        </row>
        <row r="85">
          <cell r="A85">
            <v>243632</v>
          </cell>
          <cell r="AD85" t="str">
            <v>EN</v>
          </cell>
        </row>
        <row r="86">
          <cell r="A86">
            <v>247324</v>
          </cell>
          <cell r="AD86" t="str">
            <v>EN</v>
          </cell>
        </row>
        <row r="87">
          <cell r="A87">
            <v>269990</v>
          </cell>
          <cell r="AD87" t="str">
            <v>EN</v>
          </cell>
        </row>
        <row r="88">
          <cell r="A88">
            <v>269261</v>
          </cell>
          <cell r="AD88" t="str">
            <v>EN</v>
          </cell>
        </row>
        <row r="89">
          <cell r="A89">
            <v>244259</v>
          </cell>
          <cell r="AD89" t="str">
            <v>EN</v>
          </cell>
        </row>
        <row r="90">
          <cell r="A90">
            <v>265975</v>
          </cell>
          <cell r="AD90" t="str">
            <v>EN</v>
          </cell>
        </row>
        <row r="91">
          <cell r="A91">
            <v>270851</v>
          </cell>
          <cell r="AD91" t="str">
            <v>EN</v>
          </cell>
        </row>
        <row r="92">
          <cell r="A92">
            <v>236964</v>
          </cell>
          <cell r="AD92" t="str">
            <v>EN</v>
          </cell>
        </row>
        <row r="93">
          <cell r="A93">
            <v>267483</v>
          </cell>
          <cell r="AD93" t="str">
            <v>NN</v>
          </cell>
        </row>
        <row r="94">
          <cell r="A94">
            <v>168609</v>
          </cell>
          <cell r="AD94" t="str">
            <v>NN</v>
          </cell>
        </row>
        <row r="95">
          <cell r="A95">
            <v>222536</v>
          </cell>
          <cell r="AD95" t="str">
            <v>NN</v>
          </cell>
        </row>
        <row r="96">
          <cell r="A96">
            <v>245950</v>
          </cell>
          <cell r="AD96" t="str">
            <v>EN</v>
          </cell>
        </row>
        <row r="97">
          <cell r="A97">
            <v>275080</v>
          </cell>
          <cell r="AD97" t="str">
            <v>EN</v>
          </cell>
        </row>
        <row r="98">
          <cell r="A98">
            <v>247895</v>
          </cell>
          <cell r="AD98" t="str">
            <v>EN</v>
          </cell>
        </row>
        <row r="99">
          <cell r="A99">
            <v>215045</v>
          </cell>
          <cell r="AD99" t="str">
            <v>EN</v>
          </cell>
        </row>
        <row r="100">
          <cell r="A100">
            <v>217694</v>
          </cell>
          <cell r="AD100" t="str">
            <v>EN</v>
          </cell>
        </row>
        <row r="101">
          <cell r="A101">
            <v>270827</v>
          </cell>
          <cell r="AD101" t="str">
            <v>EN</v>
          </cell>
        </row>
        <row r="102">
          <cell r="A102">
            <v>255839</v>
          </cell>
          <cell r="AD102" t="str">
            <v>EN</v>
          </cell>
        </row>
        <row r="103">
          <cell r="A103">
            <v>248543</v>
          </cell>
          <cell r="AD103" t="str">
            <v>EN</v>
          </cell>
        </row>
        <row r="104">
          <cell r="A104">
            <v>267387</v>
          </cell>
          <cell r="AD104" t="str">
            <v>EN</v>
          </cell>
        </row>
        <row r="105">
          <cell r="A105">
            <v>274860</v>
          </cell>
          <cell r="AD105" t="str">
            <v>EN</v>
          </cell>
        </row>
        <row r="106">
          <cell r="A106">
            <v>243374</v>
          </cell>
          <cell r="AD106" t="str">
            <v>EN</v>
          </cell>
        </row>
        <row r="107">
          <cell r="A107">
            <v>269870</v>
          </cell>
          <cell r="AD107" t="str">
            <v>NN</v>
          </cell>
        </row>
        <row r="108">
          <cell r="A108">
            <v>255708</v>
          </cell>
          <cell r="AD108" t="str">
            <v>EN</v>
          </cell>
        </row>
        <row r="109">
          <cell r="A109">
            <v>195774</v>
          </cell>
          <cell r="AD109" t="str">
            <v>EN</v>
          </cell>
        </row>
        <row r="110">
          <cell r="A110">
            <v>204458</v>
          </cell>
          <cell r="AD110" t="str">
            <v>EN</v>
          </cell>
        </row>
        <row r="111">
          <cell r="A111">
            <v>262524</v>
          </cell>
          <cell r="AD111" t="str">
            <v>NN</v>
          </cell>
        </row>
        <row r="112">
          <cell r="A112">
            <v>259054</v>
          </cell>
          <cell r="AD112" t="str">
            <v>EN</v>
          </cell>
        </row>
        <row r="113">
          <cell r="A113">
            <v>269049</v>
          </cell>
          <cell r="AD113" t="str">
            <v>NN</v>
          </cell>
        </row>
        <row r="114">
          <cell r="A114">
            <v>273609</v>
          </cell>
          <cell r="AD114" t="str">
            <v>EN</v>
          </cell>
        </row>
        <row r="115">
          <cell r="A115">
            <v>296625</v>
          </cell>
          <cell r="AD115" t="str">
            <v>NN</v>
          </cell>
        </row>
        <row r="116">
          <cell r="A116">
            <v>265784</v>
          </cell>
          <cell r="AD116" t="str">
            <v>EN</v>
          </cell>
        </row>
        <row r="117">
          <cell r="A117">
            <v>247327</v>
          </cell>
          <cell r="AD117" t="str">
            <v>EN</v>
          </cell>
        </row>
        <row r="118">
          <cell r="A118">
            <v>237004</v>
          </cell>
          <cell r="AD118" t="str">
            <v>EN</v>
          </cell>
        </row>
        <row r="119">
          <cell r="A119">
            <v>263486</v>
          </cell>
          <cell r="AD119" t="str">
            <v>NN</v>
          </cell>
        </row>
        <row r="120">
          <cell r="A120">
            <v>261058</v>
          </cell>
          <cell r="AD120" t="str">
            <v>NN</v>
          </cell>
        </row>
        <row r="121">
          <cell r="A121">
            <v>264631</v>
          </cell>
          <cell r="AD121" t="str">
            <v>NN</v>
          </cell>
        </row>
        <row r="122">
          <cell r="A122">
            <v>293344</v>
          </cell>
          <cell r="AD122" t="str">
            <v>NN</v>
          </cell>
        </row>
        <row r="123">
          <cell r="A123">
            <v>273781</v>
          </cell>
          <cell r="AD123" t="str">
            <v>EN</v>
          </cell>
        </row>
        <row r="124">
          <cell r="A124">
            <v>260473</v>
          </cell>
          <cell r="AD124" t="str">
            <v>NN</v>
          </cell>
        </row>
        <row r="125">
          <cell r="A125">
            <v>244015</v>
          </cell>
          <cell r="AD125" t="str">
            <v>EN</v>
          </cell>
        </row>
        <row r="126">
          <cell r="A126">
            <v>253350</v>
          </cell>
          <cell r="AD126" t="str">
            <v>NN</v>
          </cell>
        </row>
        <row r="127">
          <cell r="A127">
            <v>260935</v>
          </cell>
          <cell r="AD127" t="str">
            <v>NN</v>
          </cell>
        </row>
        <row r="128">
          <cell r="A128">
            <v>216362</v>
          </cell>
          <cell r="AD128" t="str">
            <v>EN</v>
          </cell>
        </row>
        <row r="129">
          <cell r="A129">
            <v>226727</v>
          </cell>
          <cell r="AD129" t="str">
            <v>EN</v>
          </cell>
        </row>
        <row r="130">
          <cell r="A130">
            <v>214534</v>
          </cell>
          <cell r="AD130" t="str">
            <v>EN</v>
          </cell>
        </row>
        <row r="131">
          <cell r="A131">
            <v>264579</v>
          </cell>
          <cell r="AD131" t="str">
            <v>EN</v>
          </cell>
        </row>
        <row r="132">
          <cell r="A132">
            <v>276560</v>
          </cell>
          <cell r="AD132" t="str">
            <v>NN</v>
          </cell>
        </row>
        <row r="133">
          <cell r="A133">
            <v>258134</v>
          </cell>
          <cell r="AD133" t="str">
            <v>NN</v>
          </cell>
        </row>
        <row r="134">
          <cell r="A134">
            <v>269064</v>
          </cell>
          <cell r="AD134" t="str">
            <v>EN</v>
          </cell>
        </row>
        <row r="135">
          <cell r="A135">
            <v>294423</v>
          </cell>
          <cell r="AD135" t="str">
            <v>EN</v>
          </cell>
        </row>
        <row r="136">
          <cell r="A136">
            <v>245650</v>
          </cell>
          <cell r="AD136" t="str">
            <v>EN</v>
          </cell>
        </row>
        <row r="137">
          <cell r="A137">
            <v>271600</v>
          </cell>
          <cell r="AD137" t="str">
            <v>NN</v>
          </cell>
        </row>
        <row r="138">
          <cell r="A138">
            <v>274334</v>
          </cell>
          <cell r="AD138" t="str">
            <v>EN</v>
          </cell>
        </row>
        <row r="139">
          <cell r="A139">
            <v>244017</v>
          </cell>
          <cell r="AD139" t="str">
            <v>EN</v>
          </cell>
        </row>
        <row r="140">
          <cell r="A140">
            <v>263379</v>
          </cell>
          <cell r="AD140" t="str">
            <v>EN</v>
          </cell>
        </row>
        <row r="141">
          <cell r="A141">
            <v>218945</v>
          </cell>
          <cell r="AD141" t="str">
            <v>EN</v>
          </cell>
        </row>
        <row r="142">
          <cell r="A142">
            <v>259236</v>
          </cell>
          <cell r="AD142" t="str">
            <v>EN</v>
          </cell>
        </row>
        <row r="143">
          <cell r="A143">
            <v>245127</v>
          </cell>
          <cell r="AD143" t="str">
            <v>EN</v>
          </cell>
        </row>
        <row r="144">
          <cell r="A144">
            <v>227268</v>
          </cell>
          <cell r="AD144" t="str">
            <v>NN</v>
          </cell>
        </row>
        <row r="145">
          <cell r="A145">
            <v>181145</v>
          </cell>
          <cell r="AD145" t="str">
            <v>EN</v>
          </cell>
        </row>
        <row r="146">
          <cell r="A146">
            <v>241337</v>
          </cell>
          <cell r="AD146" t="str">
            <v>EN</v>
          </cell>
        </row>
        <row r="147">
          <cell r="A147">
            <v>291630</v>
          </cell>
          <cell r="AD147" t="str">
            <v>EN</v>
          </cell>
        </row>
        <row r="148">
          <cell r="A148">
            <v>238533</v>
          </cell>
          <cell r="AD148" t="str">
            <v>EN</v>
          </cell>
        </row>
        <row r="149">
          <cell r="A149">
            <v>247993</v>
          </cell>
          <cell r="AD149" t="str">
            <v>NN</v>
          </cell>
        </row>
        <row r="150">
          <cell r="A150">
            <v>260768</v>
          </cell>
          <cell r="AD150" t="str">
            <v>EN</v>
          </cell>
        </row>
        <row r="151">
          <cell r="A151">
            <v>228144</v>
          </cell>
          <cell r="AD151" t="str">
            <v>EN</v>
          </cell>
        </row>
        <row r="152">
          <cell r="A152">
            <v>274187</v>
          </cell>
          <cell r="AD152" t="str">
            <v>NN</v>
          </cell>
        </row>
        <row r="153">
          <cell r="A153">
            <v>192073</v>
          </cell>
          <cell r="AD153" t="str">
            <v>EN</v>
          </cell>
        </row>
        <row r="154">
          <cell r="A154">
            <v>236880</v>
          </cell>
          <cell r="AD154" t="str">
            <v>EN</v>
          </cell>
        </row>
        <row r="155">
          <cell r="A155">
            <v>258156</v>
          </cell>
          <cell r="AD155" t="str">
            <v>EN</v>
          </cell>
        </row>
        <row r="156">
          <cell r="A156">
            <v>263864</v>
          </cell>
          <cell r="AD156" t="str">
            <v>EN</v>
          </cell>
        </row>
        <row r="157">
          <cell r="A157">
            <v>246200</v>
          </cell>
          <cell r="AD157" t="str">
            <v>NN</v>
          </cell>
        </row>
        <row r="158">
          <cell r="A158">
            <v>276617</v>
          </cell>
          <cell r="AD158" t="str">
            <v>NN</v>
          </cell>
        </row>
        <row r="159">
          <cell r="A159">
            <v>271490</v>
          </cell>
          <cell r="AD159" t="str">
            <v>NN</v>
          </cell>
        </row>
        <row r="160">
          <cell r="A160">
            <v>260008</v>
          </cell>
          <cell r="AD160" t="str">
            <v>NN</v>
          </cell>
        </row>
        <row r="161">
          <cell r="A161">
            <v>258807</v>
          </cell>
          <cell r="AD161" t="str">
            <v>NN</v>
          </cell>
        </row>
        <row r="162">
          <cell r="A162">
            <v>214695</v>
          </cell>
          <cell r="AD162" t="str">
            <v>NN</v>
          </cell>
        </row>
        <row r="163">
          <cell r="A163">
            <v>260817</v>
          </cell>
          <cell r="AD163" t="str">
            <v>EN</v>
          </cell>
        </row>
        <row r="164">
          <cell r="A164">
            <v>264860</v>
          </cell>
          <cell r="AD164" t="str">
            <v>NN</v>
          </cell>
        </row>
        <row r="165">
          <cell r="A165">
            <v>246490</v>
          </cell>
          <cell r="AD165" t="str">
            <v>EN</v>
          </cell>
        </row>
        <row r="166">
          <cell r="A166">
            <v>271483</v>
          </cell>
          <cell r="AD166" t="str">
            <v>EN</v>
          </cell>
        </row>
        <row r="167">
          <cell r="A167">
            <v>273678</v>
          </cell>
          <cell r="AD167" t="str">
            <v>EN</v>
          </cell>
        </row>
        <row r="168">
          <cell r="A168">
            <v>236408</v>
          </cell>
          <cell r="AD168" t="str">
            <v>EN</v>
          </cell>
        </row>
        <row r="169">
          <cell r="A169" t="str">
            <v>-</v>
          </cell>
          <cell r="AD169" t="str">
            <v>EN</v>
          </cell>
        </row>
      </sheetData>
      <sheetData sheetId="12" refreshError="1"/>
      <sheetData sheetId="13" refreshError="1"/>
      <sheetData sheetId="14" refreshError="1"/>
      <sheetData sheetId="15" refreshError="1"/>
    </sheetDataSet>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3096B96B-E5DA-4B8A-9B60-650987E7EFED}"/>
  <namedSheetView name="View2" id="{B638A305-5D50-4191-BE49-6A2CC92C8D92}"/>
  <namedSheetView name="View3" id="{85710428-D101-44F8-973C-9FE9EDE25139}"/>
</namedSheetView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microsoft.com/office/2019/04/relationships/namedSheetView" Target="../namedSheetViews/namedSheetView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1CE74A-8EEE-4A8A-9115-043242D5AC38}">
  <sheetPr codeName="Sheet4">
    <tabColor rgb="FFFFFF00"/>
  </sheetPr>
  <dimension ref="A1:G45"/>
  <sheetViews>
    <sheetView showGridLines="0" zoomScale="140" zoomScaleNormal="140" workbookViewId="0">
      <selection activeCell="F4" sqref="F4"/>
    </sheetView>
  </sheetViews>
  <sheetFormatPr defaultRowHeight="14.5" x14ac:dyDescent="0.35"/>
  <cols>
    <col min="1" max="1" width="43" bestFit="1" customWidth="1"/>
    <col min="2" max="2" width="34.453125" bestFit="1" customWidth="1"/>
    <col min="3" max="3" width="40.453125" bestFit="1" customWidth="1"/>
    <col min="4" max="4" width="35" bestFit="1" customWidth="1"/>
    <col min="5" max="5" width="23.81640625" bestFit="1" customWidth="1"/>
    <col min="10" max="10" width="16.26953125" customWidth="1"/>
  </cols>
  <sheetData>
    <row r="1" spans="1:7" s="26" customFormat="1" x14ac:dyDescent="0.35"/>
    <row r="2" spans="1:7" s="26" customFormat="1" x14ac:dyDescent="0.35">
      <c r="A2" s="32" t="s">
        <v>0</v>
      </c>
      <c r="B2" s="32" t="s">
        <v>1</v>
      </c>
      <c r="C2" s="32" t="s">
        <v>444</v>
      </c>
      <c r="D2" s="32" t="s">
        <v>2</v>
      </c>
      <c r="E2" s="32" t="s">
        <v>443</v>
      </c>
    </row>
    <row r="3" spans="1:7" ht="29" x14ac:dyDescent="0.35">
      <c r="A3" s="31" t="s">
        <v>448</v>
      </c>
      <c r="B3" s="31" t="s">
        <v>433</v>
      </c>
      <c r="C3" s="31" t="s">
        <v>483</v>
      </c>
      <c r="D3" s="31" t="s">
        <v>441</v>
      </c>
      <c r="E3" s="31" t="s">
        <v>367</v>
      </c>
      <c r="G3" s="33"/>
    </row>
    <row r="4" spans="1:7" ht="43.5" x14ac:dyDescent="0.35">
      <c r="A4" s="31" t="s">
        <v>437</v>
      </c>
      <c r="B4" s="31" t="s">
        <v>438</v>
      </c>
      <c r="C4" s="31" t="s">
        <v>435</v>
      </c>
      <c r="D4" s="31" t="s">
        <v>445</v>
      </c>
      <c r="E4" s="31" t="s">
        <v>370</v>
      </c>
      <c r="G4" s="33"/>
    </row>
    <row r="5" spans="1:7" ht="29" x14ac:dyDescent="0.35">
      <c r="A5" s="31" t="s">
        <v>368</v>
      </c>
      <c r="B5" s="31" t="s">
        <v>268</v>
      </c>
      <c r="C5" s="31" t="s">
        <v>366</v>
      </c>
      <c r="D5" s="31" t="s">
        <v>484</v>
      </c>
      <c r="E5" s="31" t="s">
        <v>504</v>
      </c>
      <c r="G5" s="33"/>
    </row>
    <row r="6" spans="1:7" ht="29" x14ac:dyDescent="0.35">
      <c r="A6" s="31" t="s">
        <v>432</v>
      </c>
      <c r="B6" s="31" t="s">
        <v>270</v>
      </c>
      <c r="C6" s="31" t="s">
        <v>364</v>
      </c>
      <c r="D6" s="31" t="s">
        <v>486</v>
      </c>
      <c r="E6" s="31"/>
      <c r="G6" s="33"/>
    </row>
    <row r="7" spans="1:7" ht="29" x14ac:dyDescent="0.35">
      <c r="A7" s="31" t="s">
        <v>436</v>
      </c>
      <c r="B7" s="44" t="s">
        <v>439</v>
      </c>
      <c r="C7" s="31" t="s">
        <v>492</v>
      </c>
      <c r="D7" s="31" t="s">
        <v>369</v>
      </c>
      <c r="E7" s="31"/>
      <c r="G7" s="33"/>
    </row>
    <row r="8" spans="1:7" ht="26.25" customHeight="1" x14ac:dyDescent="0.35">
      <c r="A8" s="31" t="s">
        <v>361</v>
      </c>
      <c r="B8" s="31" t="s">
        <v>269</v>
      </c>
      <c r="C8" s="31" t="s">
        <v>493</v>
      </c>
      <c r="D8" s="31" t="s">
        <v>365</v>
      </c>
      <c r="E8" s="31"/>
    </row>
    <row r="9" spans="1:7" ht="29" x14ac:dyDescent="0.35">
      <c r="A9" s="31" t="s">
        <v>451</v>
      </c>
      <c r="B9" s="31" t="s">
        <v>440</v>
      </c>
      <c r="C9" s="31"/>
      <c r="D9" s="31" t="s">
        <v>442</v>
      </c>
      <c r="E9" s="31"/>
    </row>
    <row r="10" spans="1:7" ht="29" x14ac:dyDescent="0.35">
      <c r="A10" s="31" t="s">
        <v>476</v>
      </c>
      <c r="B10" s="31" t="s">
        <v>485</v>
      </c>
      <c r="C10" s="31"/>
      <c r="D10" s="31" t="s">
        <v>374</v>
      </c>
      <c r="E10" s="31"/>
    </row>
    <row r="11" spans="1:7" ht="26.25" customHeight="1" x14ac:dyDescent="0.35">
      <c r="A11" s="34"/>
      <c r="B11" s="34"/>
      <c r="C11" s="34"/>
      <c r="D11" s="34" t="s">
        <v>467</v>
      </c>
      <c r="E11" s="34"/>
    </row>
    <row r="12" spans="1:7" ht="26.25" customHeight="1" x14ac:dyDescent="0.35">
      <c r="A12" s="31"/>
      <c r="B12" s="31"/>
      <c r="C12" s="31"/>
      <c r="D12" s="27"/>
      <c r="E12" s="31"/>
    </row>
    <row r="13" spans="1:7" ht="26.25" customHeight="1" x14ac:dyDescent="0.35">
      <c r="A13" s="35"/>
      <c r="B13" s="36"/>
      <c r="C13" s="35"/>
      <c r="E13" s="35"/>
    </row>
    <row r="14" spans="1:7" ht="26.25" customHeight="1" x14ac:dyDescent="0.35">
      <c r="A14" s="35"/>
      <c r="C14" s="35"/>
      <c r="E14" s="35"/>
    </row>
    <row r="15" spans="1:7" ht="26.25" customHeight="1" x14ac:dyDescent="0.35">
      <c r="A15" s="37"/>
      <c r="C15" s="36"/>
      <c r="E15" s="38"/>
    </row>
    <row r="16" spans="1:7" ht="19.5" customHeight="1" x14ac:dyDescent="0.35"/>
    <row r="17" ht="19.5" customHeight="1" x14ac:dyDescent="0.35"/>
    <row r="18" ht="19.5" customHeight="1" x14ac:dyDescent="0.35"/>
    <row r="19" ht="19.5" customHeight="1" x14ac:dyDescent="0.35"/>
    <row r="20" ht="19.5" customHeight="1" x14ac:dyDescent="0.35"/>
    <row r="21" ht="19.5" customHeight="1" x14ac:dyDescent="0.35"/>
    <row r="22" ht="19.5" customHeight="1" x14ac:dyDescent="0.35"/>
    <row r="23" ht="19.5" customHeight="1" x14ac:dyDescent="0.35"/>
    <row r="24" ht="19.5" customHeight="1" x14ac:dyDescent="0.35"/>
    <row r="25" ht="19.5" customHeight="1" x14ac:dyDescent="0.35"/>
    <row r="26" ht="19.5" customHeight="1" x14ac:dyDescent="0.35"/>
    <row r="27" ht="19.5" customHeight="1" x14ac:dyDescent="0.35"/>
    <row r="28" ht="19.5" customHeight="1" x14ac:dyDescent="0.35"/>
    <row r="29" ht="19.5" customHeight="1" x14ac:dyDescent="0.35"/>
    <row r="30" ht="19.5" customHeight="1" x14ac:dyDescent="0.35"/>
    <row r="31" ht="19.5" customHeight="1" x14ac:dyDescent="0.35"/>
    <row r="32" ht="19.5" customHeight="1" x14ac:dyDescent="0.35"/>
    <row r="33" ht="19.5" customHeight="1" x14ac:dyDescent="0.35"/>
    <row r="34" ht="19.5" customHeight="1" x14ac:dyDescent="0.35"/>
    <row r="35" ht="19.5" customHeight="1" x14ac:dyDescent="0.35"/>
    <row r="36" ht="19.5" customHeight="1" x14ac:dyDescent="0.35"/>
    <row r="37" ht="19.5" customHeight="1" x14ac:dyDescent="0.35"/>
    <row r="38" ht="19.5" customHeight="1" x14ac:dyDescent="0.35"/>
    <row r="39" ht="19.5" customHeight="1" x14ac:dyDescent="0.35"/>
    <row r="40" ht="19.5" customHeight="1" x14ac:dyDescent="0.35"/>
    <row r="41" ht="19.5" customHeight="1" x14ac:dyDescent="0.35"/>
    <row r="42" ht="19.5" customHeight="1" x14ac:dyDescent="0.35"/>
    <row r="43" ht="19.5" customHeight="1" x14ac:dyDescent="0.35"/>
    <row r="44" ht="19.5" customHeight="1" x14ac:dyDescent="0.35"/>
    <row r="45" ht="19.5" customHeight="1" x14ac:dyDescent="0.35"/>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B57C08-DBA7-4474-81D3-5BFCB29EBB39}">
  <dimension ref="B1:AC70"/>
  <sheetViews>
    <sheetView showGridLines="0" tabSelected="1" topLeftCell="A2" zoomScale="80" zoomScaleNormal="80" workbookViewId="0">
      <pane ySplit="1" topLeftCell="A3" activePane="bottomLeft" state="frozen"/>
      <selection activeCell="A2" sqref="A2"/>
      <selection pane="bottomLeft" activeCell="H1" sqref="H1"/>
    </sheetView>
  </sheetViews>
  <sheetFormatPr defaultColWidth="9.1796875" defaultRowHeight="15" customHeight="1" x14ac:dyDescent="0.35"/>
  <cols>
    <col min="1" max="1" width="2.81640625" style="1" customWidth="1"/>
    <col min="2" max="5" width="7.54296875" style="9" customWidth="1"/>
    <col min="6" max="6" width="12.453125" style="1" customWidth="1"/>
    <col min="7" max="7" width="16.26953125" style="2" customWidth="1"/>
    <col min="8" max="10" width="6.7265625" style="1" customWidth="1"/>
    <col min="11" max="11" width="11.54296875" style="47" customWidth="1"/>
    <col min="12" max="12" width="11.54296875" style="1" customWidth="1"/>
    <col min="13" max="13" width="11.54296875" style="47" customWidth="1"/>
    <col min="14" max="14" width="11.54296875" style="1" customWidth="1"/>
    <col min="15" max="15" width="11.54296875" style="47" customWidth="1"/>
    <col min="16" max="16" width="11.54296875" style="1" customWidth="1"/>
    <col min="17" max="17" width="52.453125" style="1" customWidth="1"/>
    <col min="18" max="25" width="12.81640625" style="1" customWidth="1"/>
    <col min="26" max="26" width="11.7265625" style="1" bestFit="1" customWidth="1"/>
    <col min="27" max="28" width="13.1796875" style="1" bestFit="1" customWidth="1"/>
    <col min="29" max="29" width="13.81640625" style="1" bestFit="1" customWidth="1"/>
    <col min="30" max="30" width="9.1796875" style="1" customWidth="1"/>
    <col min="31" max="16384" width="9.1796875" style="1"/>
  </cols>
  <sheetData>
    <row r="1" spans="2:29" s="47" customFormat="1" ht="15" customHeight="1" x14ac:dyDescent="0.35">
      <c r="B1" s="45"/>
      <c r="C1" s="45"/>
      <c r="D1" s="45"/>
      <c r="E1" s="45"/>
      <c r="F1" s="45"/>
      <c r="G1" s="46"/>
      <c r="H1" s="45"/>
      <c r="I1" s="45"/>
      <c r="J1" s="45"/>
      <c r="K1" s="75" t="s">
        <v>375</v>
      </c>
      <c r="L1" s="75"/>
      <c r="M1" s="75"/>
      <c r="N1" s="75"/>
      <c r="O1" s="75"/>
      <c r="P1" s="75"/>
      <c r="Q1" s="74" t="s">
        <v>351</v>
      </c>
      <c r="R1" s="72" t="s">
        <v>353</v>
      </c>
      <c r="S1" s="72"/>
      <c r="T1" s="72"/>
      <c r="U1" s="72"/>
      <c r="V1" s="72"/>
      <c r="W1" s="72"/>
      <c r="X1" s="72"/>
      <c r="Y1" s="73" t="s">
        <v>357</v>
      </c>
      <c r="Z1" s="71" t="s">
        <v>356</v>
      </c>
      <c r="AA1" s="71"/>
      <c r="AB1" s="71"/>
      <c r="AC1" s="71"/>
    </row>
    <row r="2" spans="2:29" s="3" customFormat="1" ht="48" x14ac:dyDescent="0.35">
      <c r="B2" s="48" t="s">
        <v>3</v>
      </c>
      <c r="C2" s="48" t="s">
        <v>4</v>
      </c>
      <c r="D2" s="48" t="s">
        <v>348</v>
      </c>
      <c r="E2" s="48" t="s">
        <v>349</v>
      </c>
      <c r="F2" s="48" t="s">
        <v>50</v>
      </c>
      <c r="G2" s="48" t="s">
        <v>51</v>
      </c>
      <c r="H2" s="48" t="s">
        <v>5</v>
      </c>
      <c r="I2" s="54" t="s">
        <v>495</v>
      </c>
      <c r="J2" s="54" t="s">
        <v>458</v>
      </c>
      <c r="K2" s="49" t="s">
        <v>459</v>
      </c>
      <c r="L2" s="49" t="s">
        <v>460</v>
      </c>
      <c r="M2" s="49" t="s">
        <v>461</v>
      </c>
      <c r="N2" s="49" t="s">
        <v>462</v>
      </c>
      <c r="O2" s="49" t="s">
        <v>463</v>
      </c>
      <c r="P2" s="49" t="s">
        <v>464</v>
      </c>
      <c r="Q2" s="74"/>
      <c r="R2" s="50" t="s">
        <v>363</v>
      </c>
      <c r="S2" s="50" t="s">
        <v>362</v>
      </c>
      <c r="T2" s="50" t="s">
        <v>354</v>
      </c>
      <c r="U2" s="50" t="s">
        <v>355</v>
      </c>
      <c r="V2" s="50" t="s">
        <v>371</v>
      </c>
      <c r="W2" s="50" t="s">
        <v>372</v>
      </c>
      <c r="X2" s="50" t="s">
        <v>373</v>
      </c>
      <c r="Y2" s="73"/>
      <c r="Z2" s="51" t="s">
        <v>347</v>
      </c>
      <c r="AA2" s="51" t="s">
        <v>6</v>
      </c>
      <c r="AB2" s="51" t="s">
        <v>352</v>
      </c>
      <c r="AC2" s="51" t="s">
        <v>7</v>
      </c>
    </row>
    <row r="3" spans="2:29" ht="72" x14ac:dyDescent="0.35">
      <c r="B3" s="42">
        <v>255430</v>
      </c>
      <c r="C3" s="42" t="s">
        <v>43</v>
      </c>
      <c r="D3" s="42" t="s">
        <v>345</v>
      </c>
      <c r="E3" s="42" t="s">
        <v>350</v>
      </c>
      <c r="F3" s="41" t="s">
        <v>261</v>
      </c>
      <c r="G3" s="42" t="s">
        <v>45</v>
      </c>
      <c r="H3" s="29">
        <v>80</v>
      </c>
      <c r="I3" s="40" t="str">
        <f t="shared" ref="I3:I34" si="0">IF(H3&lt;250, "&lt;250M", "&gt;=250M")</f>
        <v>&lt;250M</v>
      </c>
      <c r="J3" s="30" t="str">
        <f>_xlfn.XLOOKUP(B3,'[1]FY25 Pipeline'!$A:$A,'[1]FY25 Pipeline'!$AF:$AF)</f>
        <v>NN</v>
      </c>
      <c r="K3" s="52"/>
      <c r="L3" s="30"/>
      <c r="M3" s="52"/>
      <c r="N3" s="30"/>
      <c r="O3" s="52"/>
      <c r="P3" s="30"/>
      <c r="Q3" s="28" t="s">
        <v>280</v>
      </c>
      <c r="R3" s="28"/>
      <c r="S3" s="28" t="s">
        <v>465</v>
      </c>
      <c r="T3" s="28"/>
      <c r="U3" s="28"/>
      <c r="V3" s="28"/>
      <c r="W3" s="28"/>
      <c r="X3" s="28"/>
      <c r="Y3" s="28"/>
      <c r="Z3" s="62" t="s">
        <v>115</v>
      </c>
      <c r="AA3" s="62" t="s">
        <v>23</v>
      </c>
      <c r="AB3" s="62" t="s">
        <v>138</v>
      </c>
      <c r="AC3" s="62" t="s">
        <v>28</v>
      </c>
    </row>
    <row r="4" spans="2:29" ht="36" x14ac:dyDescent="0.35">
      <c r="B4" s="42">
        <v>298012</v>
      </c>
      <c r="C4" s="42" t="s">
        <v>12</v>
      </c>
      <c r="D4" s="42" t="s">
        <v>345</v>
      </c>
      <c r="E4" s="42" t="s">
        <v>350</v>
      </c>
      <c r="F4" s="41" t="s">
        <v>41</v>
      </c>
      <c r="G4" s="43" t="s">
        <v>42</v>
      </c>
      <c r="H4" s="29">
        <v>70.290000000000006</v>
      </c>
      <c r="I4" s="40" t="str">
        <f t="shared" si="0"/>
        <v>&lt;250M</v>
      </c>
      <c r="J4" s="30" t="str">
        <f>_xlfn.XLOOKUP(B4,'[1]FY25 Pipeline'!$A:$A,'[1]FY25 Pipeline'!$AF:$AF)</f>
        <v>EN</v>
      </c>
      <c r="K4" s="52"/>
      <c r="L4" s="30"/>
      <c r="M4" s="52"/>
      <c r="N4" s="30"/>
      <c r="O4" s="52"/>
      <c r="P4" s="30"/>
      <c r="Q4" s="28" t="s">
        <v>450</v>
      </c>
      <c r="R4" s="28"/>
      <c r="S4" s="28" t="s">
        <v>465</v>
      </c>
      <c r="T4" s="28"/>
      <c r="U4" s="28"/>
      <c r="V4" s="28" t="s">
        <v>469</v>
      </c>
      <c r="W4" s="28"/>
      <c r="X4" s="28"/>
      <c r="Y4" s="28"/>
      <c r="Z4" s="62" t="s">
        <v>13</v>
      </c>
      <c r="AA4" s="62" t="s">
        <v>134</v>
      </c>
      <c r="AB4" s="62" t="s">
        <v>136</v>
      </c>
      <c r="AC4" s="62" t="s">
        <v>137</v>
      </c>
    </row>
    <row r="5" spans="2:29" ht="48" x14ac:dyDescent="0.35">
      <c r="B5" s="42">
        <v>293836</v>
      </c>
      <c r="C5" s="42" t="s">
        <v>29</v>
      </c>
      <c r="D5" s="42" t="s">
        <v>345</v>
      </c>
      <c r="E5" s="42" t="s">
        <v>350</v>
      </c>
      <c r="F5" s="41" t="s">
        <v>33</v>
      </c>
      <c r="G5" s="42" t="s">
        <v>34</v>
      </c>
      <c r="H5" s="29">
        <v>70</v>
      </c>
      <c r="I5" s="40" t="str">
        <f t="shared" si="0"/>
        <v>&lt;250M</v>
      </c>
      <c r="J5" s="30" t="str">
        <f>_xlfn.XLOOKUP(B5,'[1]FY25 Pipeline'!$A:$A,'[1]FY25 Pipeline'!$AF:$AF)</f>
        <v>NN</v>
      </c>
      <c r="K5" s="52"/>
      <c r="L5" s="30"/>
      <c r="M5" s="52"/>
      <c r="N5" s="30"/>
      <c r="O5" s="52"/>
      <c r="P5" s="30"/>
      <c r="Q5" s="28" t="s">
        <v>276</v>
      </c>
      <c r="R5" s="28">
        <v>18</v>
      </c>
      <c r="S5" s="28" t="s">
        <v>376</v>
      </c>
      <c r="T5" s="28"/>
      <c r="U5" s="28"/>
      <c r="V5" s="28" t="s">
        <v>469</v>
      </c>
      <c r="W5" s="28"/>
      <c r="X5" s="28"/>
      <c r="Y5" s="28"/>
      <c r="Z5" s="62" t="s">
        <v>115</v>
      </c>
      <c r="AA5" s="62" t="s">
        <v>116</v>
      </c>
      <c r="AB5" s="62" t="s">
        <v>118</v>
      </c>
      <c r="AC5" s="62" t="s">
        <v>119</v>
      </c>
    </row>
    <row r="6" spans="2:29" ht="72" x14ac:dyDescent="0.35">
      <c r="B6" s="42">
        <v>301990</v>
      </c>
      <c r="C6" s="42" t="s">
        <v>29</v>
      </c>
      <c r="D6" s="42" t="s">
        <v>345</v>
      </c>
      <c r="E6" s="42" t="s">
        <v>350</v>
      </c>
      <c r="F6" s="41" t="s">
        <v>37</v>
      </c>
      <c r="G6" s="42" t="s">
        <v>38</v>
      </c>
      <c r="H6" s="29">
        <v>45</v>
      </c>
      <c r="I6" s="40" t="str">
        <f t="shared" si="0"/>
        <v>&lt;250M</v>
      </c>
      <c r="J6" s="30" t="str">
        <f>_xlfn.XLOOKUP(B6,'[1]FY25 Pipeline'!$A:$A,'[1]FY25 Pipeline'!$AF:$AF)</f>
        <v>NN</v>
      </c>
      <c r="K6" s="52"/>
      <c r="L6" s="30"/>
      <c r="M6" s="52"/>
      <c r="N6" s="30"/>
      <c r="O6" s="52"/>
      <c r="P6" s="30"/>
      <c r="Q6" s="28" t="s">
        <v>480</v>
      </c>
      <c r="R6" s="28"/>
      <c r="S6" s="28" t="s">
        <v>376</v>
      </c>
      <c r="T6" s="28"/>
      <c r="U6" s="28"/>
      <c r="V6" s="28" t="s">
        <v>469</v>
      </c>
      <c r="W6" s="28"/>
      <c r="X6" s="28"/>
      <c r="Y6" s="28"/>
      <c r="Z6" s="62" t="s">
        <v>127</v>
      </c>
      <c r="AA6" s="62" t="s">
        <v>128</v>
      </c>
      <c r="AB6" s="62" t="s">
        <v>129</v>
      </c>
      <c r="AC6" s="62" t="s">
        <v>130</v>
      </c>
    </row>
    <row r="7" spans="2:29" ht="60" x14ac:dyDescent="0.35">
      <c r="B7" s="42">
        <v>250032</v>
      </c>
      <c r="C7" s="42" t="s">
        <v>12</v>
      </c>
      <c r="D7" s="42" t="s">
        <v>345</v>
      </c>
      <c r="E7" s="42" t="s">
        <v>350</v>
      </c>
      <c r="F7" s="41" t="s">
        <v>35</v>
      </c>
      <c r="G7" s="42" t="s">
        <v>36</v>
      </c>
      <c r="H7" s="29">
        <v>42</v>
      </c>
      <c r="I7" s="40" t="str">
        <f t="shared" si="0"/>
        <v>&lt;250M</v>
      </c>
      <c r="J7" s="30" t="str">
        <f>_xlfn.XLOOKUP(B7,'[1]FY25 Pipeline'!$A:$A,'[1]FY25 Pipeline'!$AF:$AF)</f>
        <v>EN</v>
      </c>
      <c r="K7" s="52"/>
      <c r="L7" s="30"/>
      <c r="M7" s="52"/>
      <c r="N7" s="30"/>
      <c r="O7" s="52"/>
      <c r="P7" s="30"/>
      <c r="Q7" s="28" t="s">
        <v>278</v>
      </c>
      <c r="R7" s="28">
        <v>25</v>
      </c>
      <c r="S7" s="28" t="s">
        <v>377</v>
      </c>
      <c r="T7" s="28"/>
      <c r="U7" s="28"/>
      <c r="V7" s="28" t="s">
        <v>469</v>
      </c>
      <c r="W7" s="28"/>
      <c r="X7" s="28"/>
      <c r="Y7" s="28"/>
      <c r="Z7" s="62" t="s">
        <v>13</v>
      </c>
      <c r="AA7" s="62" t="s">
        <v>121</v>
      </c>
      <c r="AB7" s="62" t="s">
        <v>124</v>
      </c>
      <c r="AC7" s="62" t="s">
        <v>125</v>
      </c>
    </row>
    <row r="8" spans="2:29" ht="108" x14ac:dyDescent="0.35">
      <c r="B8" s="42">
        <v>292878</v>
      </c>
      <c r="C8" s="42" t="s">
        <v>29</v>
      </c>
      <c r="D8" s="42" t="s">
        <v>345</v>
      </c>
      <c r="E8" s="42" t="s">
        <v>350</v>
      </c>
      <c r="F8" s="41" t="s">
        <v>39</v>
      </c>
      <c r="G8" s="42" t="s">
        <v>40</v>
      </c>
      <c r="H8" s="29">
        <v>35.130000000000003</v>
      </c>
      <c r="I8" s="40" t="str">
        <f t="shared" si="0"/>
        <v>&lt;250M</v>
      </c>
      <c r="J8" s="30" t="str">
        <f>_xlfn.XLOOKUP(B8,'[1]FY25 Pipeline'!$A:$A,'[1]FY25 Pipeline'!$AF:$AF)</f>
        <v>NN</v>
      </c>
      <c r="K8" s="52"/>
      <c r="L8" s="30"/>
      <c r="M8" s="52"/>
      <c r="N8" s="30"/>
      <c r="O8" s="52"/>
      <c r="P8" s="30"/>
      <c r="Q8" s="28" t="s">
        <v>272</v>
      </c>
      <c r="R8" s="28"/>
      <c r="S8" s="28" t="s">
        <v>376</v>
      </c>
      <c r="T8" s="28"/>
      <c r="U8" s="28"/>
      <c r="V8" s="28" t="s">
        <v>469</v>
      </c>
      <c r="W8" s="28"/>
      <c r="X8" s="28"/>
      <c r="Y8" s="28"/>
      <c r="Z8" s="62" t="s">
        <v>132</v>
      </c>
      <c r="AA8" s="62" t="s">
        <v>73</v>
      </c>
      <c r="AB8" s="62" t="s">
        <v>133</v>
      </c>
      <c r="AC8" s="62" t="s">
        <v>102</v>
      </c>
    </row>
    <row r="9" spans="2:29" ht="144" x14ac:dyDescent="0.35">
      <c r="B9" s="42">
        <v>270937</v>
      </c>
      <c r="C9" s="42" t="s">
        <v>29</v>
      </c>
      <c r="D9" s="42" t="s">
        <v>345</v>
      </c>
      <c r="E9" s="42" t="s">
        <v>350</v>
      </c>
      <c r="F9" s="41" t="s">
        <v>30</v>
      </c>
      <c r="G9" s="42" t="s">
        <v>31</v>
      </c>
      <c r="H9" s="29">
        <v>25</v>
      </c>
      <c r="I9" s="40" t="str">
        <f t="shared" si="0"/>
        <v>&lt;250M</v>
      </c>
      <c r="J9" s="30" t="str">
        <f>_xlfn.XLOOKUP(B9,'[1]FY25 Pipeline'!$A:$A,'[1]FY25 Pipeline'!$AF:$AF)</f>
        <v>NN</v>
      </c>
      <c r="K9" s="52" t="s">
        <v>2</v>
      </c>
      <c r="L9" s="30" t="s">
        <v>441</v>
      </c>
      <c r="M9" s="52" t="s">
        <v>1</v>
      </c>
      <c r="N9" s="30" t="s">
        <v>269</v>
      </c>
      <c r="O9" s="52" t="s">
        <v>1</v>
      </c>
      <c r="P9" s="30" t="s">
        <v>270</v>
      </c>
      <c r="Q9" s="28" t="s">
        <v>279</v>
      </c>
      <c r="R9" s="28"/>
      <c r="S9" s="28" t="s">
        <v>466</v>
      </c>
      <c r="T9" s="28"/>
      <c r="U9" s="28"/>
      <c r="V9" s="28" t="s">
        <v>468</v>
      </c>
      <c r="W9" s="28"/>
      <c r="X9" s="28"/>
      <c r="Y9" s="28"/>
      <c r="Z9" s="62" t="s">
        <v>27</v>
      </c>
      <c r="AA9" s="62" t="s">
        <v>263</v>
      </c>
      <c r="AB9" s="62" t="s">
        <v>107</v>
      </c>
      <c r="AC9" s="62" t="s">
        <v>21</v>
      </c>
    </row>
    <row r="10" spans="2:29" ht="36" x14ac:dyDescent="0.35">
      <c r="B10" s="28">
        <v>314869</v>
      </c>
      <c r="C10" s="28" t="s">
        <v>29</v>
      </c>
      <c r="D10" s="28" t="s">
        <v>345</v>
      </c>
      <c r="E10" s="28" t="s">
        <v>350</v>
      </c>
      <c r="F10" s="41" t="s">
        <v>32</v>
      </c>
      <c r="G10" s="42" t="s">
        <v>452</v>
      </c>
      <c r="H10" s="64">
        <v>13</v>
      </c>
      <c r="I10" s="40" t="str">
        <f t="shared" si="0"/>
        <v>&lt;250M</v>
      </c>
      <c r="J10" s="39" t="str">
        <f>_xlfn.XLOOKUP(B10,'[1]FY25 Pipeline'!$A:$A,'[1]FY25 Pipeline'!$AF:$AF)</f>
        <v>EN</v>
      </c>
      <c r="K10" s="53"/>
      <c r="L10" s="39"/>
      <c r="M10" s="53"/>
      <c r="N10" s="39"/>
      <c r="O10" s="53"/>
      <c r="P10" s="39"/>
      <c r="Q10" s="64" t="s">
        <v>449</v>
      </c>
      <c r="R10" s="64"/>
      <c r="S10" s="64" t="s">
        <v>488</v>
      </c>
      <c r="T10" s="64"/>
      <c r="U10" s="64"/>
      <c r="V10" s="64" t="s">
        <v>111</v>
      </c>
      <c r="W10" s="64"/>
      <c r="X10" s="64"/>
      <c r="Y10" s="64"/>
      <c r="Z10" s="62" t="s">
        <v>109</v>
      </c>
      <c r="AA10" s="62"/>
      <c r="AB10" s="62"/>
      <c r="AC10" s="62"/>
    </row>
    <row r="11" spans="2:29" ht="84" x14ac:dyDescent="0.35">
      <c r="B11" s="28">
        <v>292512</v>
      </c>
      <c r="C11" s="28" t="s">
        <v>43</v>
      </c>
      <c r="D11" s="28" t="s">
        <v>345</v>
      </c>
      <c r="E11" s="28" t="s">
        <v>350</v>
      </c>
      <c r="F11" s="41" t="s">
        <v>499</v>
      </c>
      <c r="G11" s="42" t="s">
        <v>47</v>
      </c>
      <c r="H11" s="64">
        <v>25</v>
      </c>
      <c r="I11" s="40" t="str">
        <f t="shared" si="0"/>
        <v>&lt;250M</v>
      </c>
      <c r="J11" s="39" t="str">
        <f>_xlfn.XLOOKUP(B11,'[1]FY25 Pipeline'!$A:$A,'[1]FY25 Pipeline'!$AF:$AF)</f>
        <v>EN</v>
      </c>
      <c r="K11" s="53"/>
      <c r="L11" s="39"/>
      <c r="M11" s="53"/>
      <c r="N11" s="39"/>
      <c r="O11" s="53"/>
      <c r="P11" s="39"/>
      <c r="Q11" s="65" t="s">
        <v>506</v>
      </c>
      <c r="R11" s="65"/>
      <c r="S11" s="65" t="s">
        <v>465</v>
      </c>
      <c r="T11" s="65"/>
      <c r="U11" s="65"/>
      <c r="V11" s="65"/>
      <c r="W11" s="65"/>
      <c r="X11" s="65"/>
      <c r="Y11" s="65"/>
      <c r="Z11" s="62"/>
      <c r="AA11" s="62" t="s">
        <v>23</v>
      </c>
      <c r="AB11" s="62" t="s">
        <v>140</v>
      </c>
      <c r="AC11" s="62" t="s">
        <v>28</v>
      </c>
    </row>
    <row r="12" spans="2:29" ht="108" x14ac:dyDescent="0.35">
      <c r="B12" s="28">
        <v>245938</v>
      </c>
      <c r="C12" s="28" t="s">
        <v>29</v>
      </c>
      <c r="D12" s="28" t="s">
        <v>345</v>
      </c>
      <c r="E12" s="28" t="s">
        <v>350</v>
      </c>
      <c r="F12" s="41" t="s">
        <v>500</v>
      </c>
      <c r="G12" s="42" t="s">
        <v>49</v>
      </c>
      <c r="H12" s="64">
        <v>25</v>
      </c>
      <c r="I12" s="40" t="str">
        <f t="shared" si="0"/>
        <v>&lt;250M</v>
      </c>
      <c r="J12" s="39" t="str">
        <f>_xlfn.XLOOKUP(B12,'[1]FY25 Pipeline'!$A:$A,'[1]FY25 Pipeline'!$AF:$AF)</f>
        <v>EN</v>
      </c>
      <c r="K12" s="53"/>
      <c r="L12" s="39"/>
      <c r="M12" s="53"/>
      <c r="N12" s="39"/>
      <c r="O12" s="53"/>
      <c r="P12" s="39"/>
      <c r="Q12" s="65" t="s">
        <v>505</v>
      </c>
      <c r="R12" s="65"/>
      <c r="S12" s="65"/>
      <c r="T12" s="65"/>
      <c r="U12" s="65"/>
      <c r="V12" s="65"/>
      <c r="W12" s="65"/>
      <c r="X12" s="65"/>
      <c r="Y12" s="65"/>
      <c r="Z12" s="62" t="s">
        <v>27</v>
      </c>
      <c r="AA12" s="62"/>
      <c r="AB12" s="62" t="s">
        <v>141</v>
      </c>
      <c r="AC12" s="62" t="s">
        <v>142</v>
      </c>
    </row>
    <row r="13" spans="2:29" ht="84" x14ac:dyDescent="0.35">
      <c r="B13" s="42">
        <v>299047</v>
      </c>
      <c r="C13" s="42" t="s">
        <v>29</v>
      </c>
      <c r="D13" s="42" t="s">
        <v>346</v>
      </c>
      <c r="E13" s="42" t="s">
        <v>350</v>
      </c>
      <c r="F13" s="41" t="s">
        <v>257</v>
      </c>
      <c r="G13" s="42" t="s">
        <v>258</v>
      </c>
      <c r="H13" s="40">
        <v>735</v>
      </c>
      <c r="I13" s="40" t="str">
        <f t="shared" si="0"/>
        <v>&gt;=250M</v>
      </c>
      <c r="J13" s="39" t="str">
        <f>_xlfn.XLOOKUP(B13,'[1]FY25 Pipeline'!$A:$A,'[1]FY25 Pipeline'!$AF:$AF)</f>
        <v>EN</v>
      </c>
      <c r="K13" s="53" t="s">
        <v>1</v>
      </c>
      <c r="L13" s="39" t="s">
        <v>433</v>
      </c>
      <c r="M13" s="53" t="s">
        <v>2</v>
      </c>
      <c r="N13" s="39" t="s">
        <v>369</v>
      </c>
      <c r="O13" s="53"/>
      <c r="P13" s="39"/>
      <c r="Q13" s="28" t="s">
        <v>275</v>
      </c>
      <c r="R13" s="28"/>
      <c r="S13" s="28" t="s">
        <v>478</v>
      </c>
      <c r="T13" s="28"/>
      <c r="U13" s="28"/>
      <c r="V13" s="28" t="s">
        <v>477</v>
      </c>
      <c r="W13" s="28"/>
      <c r="X13" s="28"/>
      <c r="Y13" s="28"/>
      <c r="Z13" s="62" t="s">
        <v>271</v>
      </c>
      <c r="AA13" s="62" t="s">
        <v>262</v>
      </c>
      <c r="AB13" s="62" t="s">
        <v>264</v>
      </c>
      <c r="AC13" s="62" t="s">
        <v>266</v>
      </c>
    </row>
    <row r="14" spans="2:29" ht="48" x14ac:dyDescent="0.35">
      <c r="B14" s="42">
        <v>301979</v>
      </c>
      <c r="C14" s="42" t="s">
        <v>12</v>
      </c>
      <c r="D14" s="42" t="s">
        <v>346</v>
      </c>
      <c r="E14" s="42" t="s">
        <v>350</v>
      </c>
      <c r="F14" s="41" t="s">
        <v>281</v>
      </c>
      <c r="G14" s="42" t="s">
        <v>282</v>
      </c>
      <c r="H14" s="40">
        <v>300</v>
      </c>
      <c r="I14" s="40" t="str">
        <f t="shared" si="0"/>
        <v>&gt;=250M</v>
      </c>
      <c r="J14" s="39" t="str">
        <f>_xlfn.XLOOKUP(B14,'[1]FY25 Pipeline'!$A:$A,'[1]FY25 Pipeline'!$AF:$AF)</f>
        <v>EN</v>
      </c>
      <c r="K14" s="53"/>
      <c r="L14" s="39"/>
      <c r="M14" s="53"/>
      <c r="N14" s="39"/>
      <c r="O14" s="53"/>
      <c r="P14" s="39"/>
      <c r="Q14" s="28" t="s">
        <v>453</v>
      </c>
      <c r="R14" s="28"/>
      <c r="S14" s="28" t="s">
        <v>465</v>
      </c>
      <c r="T14" s="28"/>
      <c r="U14" s="28"/>
      <c r="V14" s="28" t="s">
        <v>111</v>
      </c>
      <c r="W14" s="28"/>
      <c r="X14" s="28"/>
      <c r="Y14" s="28"/>
      <c r="Z14" s="62" t="s">
        <v>109</v>
      </c>
      <c r="AA14" s="62" t="s">
        <v>283</v>
      </c>
      <c r="AB14" s="62" t="s">
        <v>284</v>
      </c>
      <c r="AC14" s="62" t="s">
        <v>285</v>
      </c>
    </row>
    <row r="15" spans="2:29" ht="36" x14ac:dyDescent="0.35">
      <c r="B15" s="42">
        <v>302815</v>
      </c>
      <c r="C15" s="42" t="s">
        <v>29</v>
      </c>
      <c r="D15" s="42" t="s">
        <v>346</v>
      </c>
      <c r="E15" s="42" t="s">
        <v>350</v>
      </c>
      <c r="F15" s="41" t="s">
        <v>273</v>
      </c>
      <c r="G15" s="42" t="s">
        <v>274</v>
      </c>
      <c r="H15" s="29">
        <v>100</v>
      </c>
      <c r="I15" s="40" t="str">
        <f t="shared" si="0"/>
        <v>&lt;250M</v>
      </c>
      <c r="J15" s="30" t="str">
        <f>_xlfn.XLOOKUP(B15,'[1]FY25 Pipeline'!$A:$A,'[1]FY25 Pipeline'!$AF:$AF)</f>
        <v>EN</v>
      </c>
      <c r="K15" s="52"/>
      <c r="L15" s="30"/>
      <c r="M15" s="52"/>
      <c r="N15" s="30"/>
      <c r="O15" s="52"/>
      <c r="P15" s="30"/>
      <c r="Q15" s="28" t="s">
        <v>494</v>
      </c>
      <c r="R15" s="28"/>
      <c r="S15" s="28" t="s">
        <v>479</v>
      </c>
      <c r="T15" s="28"/>
      <c r="U15" s="28"/>
      <c r="V15" s="28" t="s">
        <v>477</v>
      </c>
      <c r="W15" s="28"/>
      <c r="X15" s="28"/>
      <c r="Y15" s="28"/>
      <c r="Z15" s="62" t="s">
        <v>286</v>
      </c>
      <c r="AA15" s="62" t="s">
        <v>287</v>
      </c>
      <c r="AB15" s="62"/>
      <c r="AC15" s="62"/>
    </row>
    <row r="16" spans="2:29" ht="48" x14ac:dyDescent="0.35">
      <c r="B16" s="42">
        <v>296617</v>
      </c>
      <c r="C16" s="42" t="s">
        <v>29</v>
      </c>
      <c r="D16" s="42" t="s">
        <v>346</v>
      </c>
      <c r="E16" s="42" t="s">
        <v>350</v>
      </c>
      <c r="F16" s="41" t="s">
        <v>259</v>
      </c>
      <c r="G16" s="42" t="s">
        <v>260</v>
      </c>
      <c r="H16" s="40">
        <v>50</v>
      </c>
      <c r="I16" s="40" t="str">
        <f t="shared" si="0"/>
        <v>&lt;250M</v>
      </c>
      <c r="J16" s="39" t="str">
        <f>_xlfn.XLOOKUP(B16,'[1]FY25 Pipeline'!$A:$A,'[1]FY25 Pipeline'!$AF:$AF)</f>
        <v>EN</v>
      </c>
      <c r="K16" s="53"/>
      <c r="L16" s="39"/>
      <c r="M16" s="53"/>
      <c r="N16" s="39"/>
      <c r="O16" s="53"/>
      <c r="P16" s="39"/>
      <c r="Q16" s="28" t="s">
        <v>277</v>
      </c>
      <c r="R16" s="28"/>
      <c r="S16" s="28"/>
      <c r="T16" s="28"/>
      <c r="U16" s="28"/>
      <c r="V16" s="28"/>
      <c r="W16" s="28"/>
      <c r="X16" s="28"/>
      <c r="Y16" s="28"/>
      <c r="Z16" s="62" t="s">
        <v>115</v>
      </c>
      <c r="AA16" s="62" t="s">
        <v>111</v>
      </c>
      <c r="AB16" s="62" t="s">
        <v>265</v>
      </c>
      <c r="AC16" s="62" t="s">
        <v>267</v>
      </c>
    </row>
    <row r="17" spans="2:29" ht="24" x14ac:dyDescent="0.35">
      <c r="B17" s="28">
        <v>264787</v>
      </c>
      <c r="C17" s="28" t="s">
        <v>29</v>
      </c>
      <c r="D17" s="28" t="s">
        <v>8</v>
      </c>
      <c r="E17" s="42" t="s">
        <v>350</v>
      </c>
      <c r="F17" s="41" t="s">
        <v>288</v>
      </c>
      <c r="G17" s="42" t="s">
        <v>289</v>
      </c>
      <c r="H17" s="40">
        <v>279.52710000000002</v>
      </c>
      <c r="I17" s="40" t="str">
        <f t="shared" si="0"/>
        <v>&gt;=250M</v>
      </c>
      <c r="J17" s="39" t="str">
        <f>_xlfn.XLOOKUP(B17,'[1]FY24 WLA'!$A:$A,'[1]FY24 WLA'!$AD:$AD)</f>
        <v>EN</v>
      </c>
      <c r="K17" s="53"/>
      <c r="L17" s="39"/>
      <c r="M17" s="53"/>
      <c r="N17" s="39"/>
      <c r="O17" s="53"/>
      <c r="P17" s="39"/>
      <c r="Q17" s="28" t="s">
        <v>337</v>
      </c>
      <c r="R17" s="28"/>
      <c r="S17" s="28" t="s">
        <v>465</v>
      </c>
      <c r="T17" s="28"/>
      <c r="U17" s="28"/>
      <c r="V17" s="28" t="s">
        <v>477</v>
      </c>
      <c r="W17" s="28"/>
      <c r="X17" s="28"/>
      <c r="Y17" s="28"/>
      <c r="Z17" s="62" t="s">
        <v>313</v>
      </c>
      <c r="AA17" s="62" t="s">
        <v>318</v>
      </c>
      <c r="AB17" s="62" t="s">
        <v>321</v>
      </c>
      <c r="AC17" s="62" t="s">
        <v>322</v>
      </c>
    </row>
    <row r="18" spans="2:29" ht="72" x14ac:dyDescent="0.35">
      <c r="B18" s="28">
        <v>298935</v>
      </c>
      <c r="C18" s="28" t="s">
        <v>29</v>
      </c>
      <c r="D18" s="28" t="s">
        <v>8</v>
      </c>
      <c r="E18" s="42" t="s">
        <v>350</v>
      </c>
      <c r="F18" s="41" t="s">
        <v>290</v>
      </c>
      <c r="G18" s="42" t="s">
        <v>291</v>
      </c>
      <c r="H18" s="40">
        <v>190</v>
      </c>
      <c r="I18" s="40" t="str">
        <f t="shared" si="0"/>
        <v>&lt;250M</v>
      </c>
      <c r="J18" s="39" t="str">
        <f>_xlfn.XLOOKUP(B18,'[1]FY24 WLA'!$A:$A,'[1]FY24 WLA'!$AD:$AD)</f>
        <v>NN</v>
      </c>
      <c r="K18" s="53"/>
      <c r="L18" s="39"/>
      <c r="M18" s="53"/>
      <c r="N18" s="39"/>
      <c r="O18" s="53"/>
      <c r="P18" s="39"/>
      <c r="Q18" s="28" t="s">
        <v>338</v>
      </c>
      <c r="R18" s="28"/>
      <c r="S18" s="28" t="s">
        <v>376</v>
      </c>
      <c r="T18" s="28"/>
      <c r="U18" s="28"/>
      <c r="V18" s="28" t="s">
        <v>469</v>
      </c>
      <c r="W18" s="28"/>
      <c r="X18" s="28"/>
      <c r="Y18" s="28"/>
      <c r="Z18" s="62" t="s">
        <v>115</v>
      </c>
      <c r="AA18" s="62" t="s">
        <v>319</v>
      </c>
      <c r="AB18" s="62" t="s">
        <v>323</v>
      </c>
      <c r="AC18" s="62" t="e">
        <v>#N/A</v>
      </c>
    </row>
    <row r="19" spans="2:29" ht="72" x14ac:dyDescent="0.35">
      <c r="B19" s="28">
        <v>295218</v>
      </c>
      <c r="C19" s="28" t="s">
        <v>10</v>
      </c>
      <c r="D19" s="28" t="s">
        <v>8</v>
      </c>
      <c r="E19" s="42" t="s">
        <v>350</v>
      </c>
      <c r="F19" s="41" t="s">
        <v>292</v>
      </c>
      <c r="G19" s="42" t="s">
        <v>293</v>
      </c>
      <c r="H19" s="40">
        <v>128</v>
      </c>
      <c r="I19" s="40" t="str">
        <f t="shared" si="0"/>
        <v>&lt;250M</v>
      </c>
      <c r="J19" s="39" t="str">
        <f>_xlfn.XLOOKUP(B19,'[1]FY24 WLA'!$A:$A,'[1]FY24 WLA'!$AD:$AD)</f>
        <v>NN</v>
      </c>
      <c r="K19" s="53"/>
      <c r="L19" s="39"/>
      <c r="M19" s="53"/>
      <c r="N19" s="39"/>
      <c r="O19" s="53"/>
      <c r="P19" s="39"/>
      <c r="Q19" s="28" t="s">
        <v>482</v>
      </c>
      <c r="R19" s="28"/>
      <c r="S19" s="28"/>
      <c r="T19" s="28"/>
      <c r="U19" s="28"/>
      <c r="V19" s="28"/>
      <c r="W19" s="28"/>
      <c r="X19" s="28"/>
      <c r="Y19" s="28"/>
      <c r="Z19" s="62" t="s">
        <v>314</v>
      </c>
      <c r="AA19" s="62"/>
      <c r="AB19" s="62" t="s">
        <v>324</v>
      </c>
      <c r="AC19" s="62" t="s">
        <v>325</v>
      </c>
    </row>
    <row r="20" spans="2:29" ht="84" x14ac:dyDescent="0.35">
      <c r="B20" s="28">
        <v>287922</v>
      </c>
      <c r="C20" s="28" t="s">
        <v>10</v>
      </c>
      <c r="D20" s="28" t="s">
        <v>8</v>
      </c>
      <c r="E20" s="42" t="s">
        <v>350</v>
      </c>
      <c r="F20" s="41" t="s">
        <v>294</v>
      </c>
      <c r="G20" s="42" t="s">
        <v>295</v>
      </c>
      <c r="H20" s="40">
        <v>100</v>
      </c>
      <c r="I20" s="40" t="str">
        <f t="shared" si="0"/>
        <v>&lt;250M</v>
      </c>
      <c r="J20" s="39" t="str">
        <f>_xlfn.XLOOKUP(B20,'[1]FY24 WLA'!$A:$A,'[1]FY24 WLA'!$AD:$AD)</f>
        <v>EN</v>
      </c>
      <c r="K20" s="53"/>
      <c r="L20" s="39"/>
      <c r="M20" s="53"/>
      <c r="N20" s="39"/>
      <c r="O20" s="53"/>
      <c r="P20" s="39"/>
      <c r="Q20" s="28" t="s">
        <v>339</v>
      </c>
      <c r="R20" s="28"/>
      <c r="S20" s="28"/>
      <c r="T20" s="28"/>
      <c r="U20" s="28"/>
      <c r="V20" s="28" t="s">
        <v>469</v>
      </c>
      <c r="W20" s="28"/>
      <c r="X20" s="28"/>
      <c r="Y20" s="28"/>
      <c r="Z20" s="62" t="s">
        <v>315</v>
      </c>
      <c r="AA20" s="62"/>
      <c r="AB20" s="62" t="s">
        <v>326</v>
      </c>
      <c r="AC20" s="62" t="s">
        <v>327</v>
      </c>
    </row>
    <row r="21" spans="2:29" ht="36" x14ac:dyDescent="0.35">
      <c r="B21" s="28">
        <v>290302</v>
      </c>
      <c r="C21" s="28" t="s">
        <v>29</v>
      </c>
      <c r="D21" s="28" t="s">
        <v>8</v>
      </c>
      <c r="E21" s="42" t="s">
        <v>350</v>
      </c>
      <c r="F21" s="41" t="s">
        <v>296</v>
      </c>
      <c r="G21" s="42" t="s">
        <v>297</v>
      </c>
      <c r="H21" s="40">
        <v>100</v>
      </c>
      <c r="I21" s="40" t="str">
        <f t="shared" si="0"/>
        <v>&lt;250M</v>
      </c>
      <c r="J21" s="39" t="str">
        <f>_xlfn.XLOOKUP(B21,'[1]FY24 WLA'!$A:$A,'[1]FY24 WLA'!$AD:$AD)</f>
        <v>EN</v>
      </c>
      <c r="K21" s="53"/>
      <c r="L21" s="39"/>
      <c r="M21" s="53"/>
      <c r="N21" s="39"/>
      <c r="O21" s="53"/>
      <c r="P21" s="39"/>
      <c r="Q21" s="28" t="s">
        <v>340</v>
      </c>
      <c r="R21" s="28"/>
      <c r="S21" s="28"/>
      <c r="T21" s="28"/>
      <c r="U21" s="28"/>
      <c r="V21" s="28"/>
      <c r="W21" s="28"/>
      <c r="X21" s="28"/>
      <c r="Y21" s="28"/>
      <c r="Z21" s="62" t="s">
        <v>316</v>
      </c>
      <c r="AA21" s="62"/>
      <c r="AB21" s="62" t="s">
        <v>328</v>
      </c>
      <c r="AC21" s="62" t="s">
        <v>329</v>
      </c>
    </row>
    <row r="22" spans="2:29" ht="36" x14ac:dyDescent="0.35">
      <c r="B22" s="28">
        <v>214766</v>
      </c>
      <c r="C22" s="28" t="s">
        <v>29</v>
      </c>
      <c r="D22" s="28" t="s">
        <v>8</v>
      </c>
      <c r="E22" s="42" t="s">
        <v>350</v>
      </c>
      <c r="F22" s="41" t="s">
        <v>298</v>
      </c>
      <c r="G22" s="42" t="s">
        <v>299</v>
      </c>
      <c r="H22" s="40">
        <v>80</v>
      </c>
      <c r="I22" s="40" t="str">
        <f t="shared" si="0"/>
        <v>&lt;250M</v>
      </c>
      <c r="J22" s="39" t="str">
        <f>_xlfn.XLOOKUP(B22,'[1]FY24 WLA'!$A:$A,'[1]FY24 WLA'!$AD:$AD)</f>
        <v>EN</v>
      </c>
      <c r="K22" s="53"/>
      <c r="L22" s="39"/>
      <c r="M22" s="53"/>
      <c r="N22" s="39"/>
      <c r="O22" s="53"/>
      <c r="P22" s="39"/>
      <c r="Q22" s="28" t="s">
        <v>341</v>
      </c>
      <c r="R22" s="28"/>
      <c r="S22" s="28"/>
      <c r="T22" s="28"/>
      <c r="U22" s="28"/>
      <c r="V22" s="28"/>
      <c r="W22" s="28"/>
      <c r="X22" s="28"/>
      <c r="Y22" s="28"/>
      <c r="Z22" s="62" t="s">
        <v>72</v>
      </c>
      <c r="AA22" s="62"/>
      <c r="AB22" s="62" t="s">
        <v>330</v>
      </c>
      <c r="AC22" s="62" t="s">
        <v>14</v>
      </c>
    </row>
    <row r="23" spans="2:29" ht="36" x14ac:dyDescent="0.35">
      <c r="B23" s="28">
        <v>276645</v>
      </c>
      <c r="C23" s="28" t="s">
        <v>29</v>
      </c>
      <c r="D23" s="28" t="s">
        <v>8</v>
      </c>
      <c r="E23" s="42" t="s">
        <v>350</v>
      </c>
      <c r="F23" s="41" t="s">
        <v>298</v>
      </c>
      <c r="G23" s="42" t="s">
        <v>300</v>
      </c>
      <c r="H23" s="40">
        <v>60</v>
      </c>
      <c r="I23" s="40" t="str">
        <f t="shared" si="0"/>
        <v>&lt;250M</v>
      </c>
      <c r="J23" s="39" t="str">
        <f>_xlfn.XLOOKUP(B23,'[1]FY24 WLA'!$A:$A,'[1]FY24 WLA'!$AD:$AD)</f>
        <v>EN</v>
      </c>
      <c r="K23" s="53"/>
      <c r="L23" s="39"/>
      <c r="M23" s="53"/>
      <c r="N23" s="39"/>
      <c r="O23" s="53"/>
      <c r="P23" s="39"/>
      <c r="Q23" s="28" t="s">
        <v>342</v>
      </c>
      <c r="R23" s="28"/>
      <c r="S23" s="28" t="s">
        <v>376</v>
      </c>
      <c r="T23" s="28"/>
      <c r="U23" s="28"/>
      <c r="V23" s="28"/>
      <c r="W23" s="28"/>
      <c r="X23" s="28"/>
      <c r="Y23" s="28"/>
      <c r="Z23" s="62" t="s">
        <v>72</v>
      </c>
      <c r="AA23" s="62"/>
      <c r="AB23" s="62" t="s">
        <v>330</v>
      </c>
      <c r="AC23" s="62" t="s">
        <v>15</v>
      </c>
    </row>
    <row r="24" spans="2:29" ht="36" x14ac:dyDescent="0.35">
      <c r="B24" s="28">
        <v>270829</v>
      </c>
      <c r="C24" s="28" t="s">
        <v>29</v>
      </c>
      <c r="D24" s="28" t="s">
        <v>8</v>
      </c>
      <c r="E24" s="42" t="s">
        <v>350</v>
      </c>
      <c r="F24" s="41" t="s">
        <v>301</v>
      </c>
      <c r="G24" s="42" t="s">
        <v>302</v>
      </c>
      <c r="H24" s="40">
        <v>57.073999999999998</v>
      </c>
      <c r="I24" s="40" t="str">
        <f t="shared" si="0"/>
        <v>&lt;250M</v>
      </c>
      <c r="J24" s="39" t="str">
        <f>_xlfn.XLOOKUP(B24,'[1]FY24 WLA'!$A:$A,'[1]FY24 WLA'!$AD:$AD)</f>
        <v>EN</v>
      </c>
      <c r="K24" s="53"/>
      <c r="L24" s="39"/>
      <c r="M24" s="53"/>
      <c r="N24" s="39"/>
      <c r="O24" s="53"/>
      <c r="P24" s="39"/>
      <c r="Q24" s="28" t="s">
        <v>2</v>
      </c>
      <c r="R24" s="28"/>
      <c r="S24" s="28" t="s">
        <v>465</v>
      </c>
      <c r="T24" s="28"/>
      <c r="U24" s="28"/>
      <c r="V24" s="28" t="s">
        <v>469</v>
      </c>
      <c r="W24" s="28"/>
      <c r="X24" s="28"/>
      <c r="Y24" s="28"/>
      <c r="Z24" s="62" t="s">
        <v>16</v>
      </c>
      <c r="AA24" s="62"/>
      <c r="AB24" s="62" t="s">
        <v>331</v>
      </c>
      <c r="AC24" s="62">
        <v>0</v>
      </c>
    </row>
    <row r="25" spans="2:29" ht="60" x14ac:dyDescent="0.35">
      <c r="B25" s="28">
        <v>296625</v>
      </c>
      <c r="C25" s="28" t="s">
        <v>29</v>
      </c>
      <c r="D25" s="28" t="s">
        <v>8</v>
      </c>
      <c r="E25" s="42" t="s">
        <v>350</v>
      </c>
      <c r="F25" s="41" t="s">
        <v>303</v>
      </c>
      <c r="G25" s="42" t="s">
        <v>304</v>
      </c>
      <c r="H25" s="29">
        <v>35</v>
      </c>
      <c r="I25" s="40" t="str">
        <f t="shared" si="0"/>
        <v>&lt;250M</v>
      </c>
      <c r="J25" s="39" t="str">
        <f>_xlfn.XLOOKUP(B25,'[1]FY24 WLA'!$A:$A,'[1]FY24 WLA'!$AD:$AD)</f>
        <v>NN</v>
      </c>
      <c r="K25" s="52"/>
      <c r="L25" s="30"/>
      <c r="M25" s="52"/>
      <c r="N25" s="30"/>
      <c r="O25" s="52"/>
      <c r="P25" s="30"/>
      <c r="Q25" s="28" t="s">
        <v>470</v>
      </c>
      <c r="R25" s="28"/>
      <c r="S25" s="28" t="s">
        <v>472</v>
      </c>
      <c r="T25" s="28"/>
      <c r="U25" s="28"/>
      <c r="V25" s="28" t="s">
        <v>111</v>
      </c>
      <c r="W25" s="28"/>
      <c r="X25" s="28"/>
      <c r="Y25" s="28"/>
      <c r="Z25" s="62" t="s">
        <v>27</v>
      </c>
      <c r="AA25" s="62" t="s">
        <v>320</v>
      </c>
      <c r="AB25" s="62" t="s">
        <v>332</v>
      </c>
      <c r="AC25" s="62" t="s">
        <v>267</v>
      </c>
    </row>
    <row r="26" spans="2:29" ht="36" x14ac:dyDescent="0.35">
      <c r="B26" s="28">
        <v>264631</v>
      </c>
      <c r="C26" s="28" t="s">
        <v>29</v>
      </c>
      <c r="D26" s="28" t="s">
        <v>8</v>
      </c>
      <c r="E26" s="42" t="s">
        <v>350</v>
      </c>
      <c r="F26" s="41" t="s">
        <v>305</v>
      </c>
      <c r="G26" s="42" t="s">
        <v>306</v>
      </c>
      <c r="H26" s="40">
        <v>33</v>
      </c>
      <c r="I26" s="40" t="str">
        <f t="shared" si="0"/>
        <v>&lt;250M</v>
      </c>
      <c r="J26" s="39" t="str">
        <f>_xlfn.XLOOKUP(B26,'[1]FY24 WLA'!$A:$A,'[1]FY24 WLA'!$AD:$AD)</f>
        <v>NN</v>
      </c>
      <c r="K26" s="53"/>
      <c r="L26" s="39"/>
      <c r="M26" s="53"/>
      <c r="N26" s="39"/>
      <c r="O26" s="53"/>
      <c r="P26" s="39"/>
      <c r="Q26" s="28" t="s">
        <v>343</v>
      </c>
      <c r="R26" s="28"/>
      <c r="S26" s="28"/>
      <c r="T26" s="28"/>
      <c r="U26" s="28"/>
      <c r="V26" s="28"/>
      <c r="W26" s="28"/>
      <c r="X26" s="28"/>
      <c r="Y26" s="28"/>
      <c r="Z26" s="62" t="s">
        <v>72</v>
      </c>
      <c r="AA26" s="62"/>
      <c r="AB26" s="62" t="s">
        <v>20</v>
      </c>
      <c r="AC26" s="62" t="s">
        <v>21</v>
      </c>
    </row>
    <row r="27" spans="2:29" ht="144" x14ac:dyDescent="0.35">
      <c r="B27" s="28">
        <v>293344</v>
      </c>
      <c r="C27" s="28" t="s">
        <v>43</v>
      </c>
      <c r="D27" s="28" t="s">
        <v>8</v>
      </c>
      <c r="E27" s="42" t="s">
        <v>350</v>
      </c>
      <c r="F27" s="41" t="s">
        <v>307</v>
      </c>
      <c r="G27" s="42" t="s">
        <v>308</v>
      </c>
      <c r="H27" s="29">
        <v>30</v>
      </c>
      <c r="I27" s="40" t="str">
        <f t="shared" si="0"/>
        <v>&lt;250M</v>
      </c>
      <c r="J27" s="39" t="str">
        <f>_xlfn.XLOOKUP(B27,'[1]FY24 WLA'!$A:$A,'[1]FY24 WLA'!$AD:$AD)</f>
        <v>NN</v>
      </c>
      <c r="K27" s="52"/>
      <c r="L27" s="30"/>
      <c r="M27" s="52"/>
      <c r="N27" s="30"/>
      <c r="O27" s="52"/>
      <c r="P27" s="30"/>
      <c r="Q27" s="28" t="s">
        <v>481</v>
      </c>
      <c r="R27" s="28"/>
      <c r="S27" s="28" t="s">
        <v>376</v>
      </c>
      <c r="T27" s="28"/>
      <c r="U27" s="28"/>
      <c r="V27" s="28" t="s">
        <v>469</v>
      </c>
      <c r="W27" s="28"/>
      <c r="X27" s="28"/>
      <c r="Y27" s="28"/>
      <c r="Z27" s="62" t="s">
        <v>22</v>
      </c>
      <c r="AA27" s="62" t="s">
        <v>23</v>
      </c>
      <c r="AB27" s="62" t="s">
        <v>333</v>
      </c>
      <c r="AC27" s="62" t="s">
        <v>334</v>
      </c>
    </row>
    <row r="28" spans="2:29" ht="24" x14ac:dyDescent="0.35">
      <c r="B28" s="28">
        <v>291630</v>
      </c>
      <c r="C28" s="28" t="s">
        <v>43</v>
      </c>
      <c r="D28" s="28" t="s">
        <v>8</v>
      </c>
      <c r="E28" s="42" t="s">
        <v>350</v>
      </c>
      <c r="F28" s="41" t="s">
        <v>309</v>
      </c>
      <c r="G28" s="42" t="s">
        <v>310</v>
      </c>
      <c r="H28" s="40">
        <v>25</v>
      </c>
      <c r="I28" s="40" t="str">
        <f t="shared" si="0"/>
        <v>&lt;250M</v>
      </c>
      <c r="J28" s="39" t="str">
        <f>_xlfn.XLOOKUP(B28,'[1]FY24 WLA'!$A:$A,'[1]FY24 WLA'!$AD:$AD)</f>
        <v>EN</v>
      </c>
      <c r="K28" s="53"/>
      <c r="L28" s="39"/>
      <c r="M28" s="53"/>
      <c r="N28" s="39"/>
      <c r="O28" s="53"/>
      <c r="P28" s="39"/>
      <c r="Q28" s="28" t="s">
        <v>344</v>
      </c>
      <c r="R28" s="28"/>
      <c r="S28" s="28"/>
      <c r="T28" s="28"/>
      <c r="U28" s="28"/>
      <c r="V28" s="28" t="s">
        <v>469</v>
      </c>
      <c r="W28" s="28"/>
      <c r="X28" s="28"/>
      <c r="Y28" s="28"/>
      <c r="Z28" s="62" t="s">
        <v>317</v>
      </c>
      <c r="AA28" s="62"/>
      <c r="AB28" s="62" t="s">
        <v>335</v>
      </c>
      <c r="AC28" s="62">
        <v>0</v>
      </c>
    </row>
    <row r="29" spans="2:29" s="61" customFormat="1" ht="24" x14ac:dyDescent="0.35">
      <c r="B29" s="60">
        <v>276617</v>
      </c>
      <c r="C29" s="60" t="s">
        <v>29</v>
      </c>
      <c r="D29" s="60" t="s">
        <v>8</v>
      </c>
      <c r="E29" s="56" t="s">
        <v>350</v>
      </c>
      <c r="F29" s="55" t="s">
        <v>311</v>
      </c>
      <c r="G29" s="56" t="s">
        <v>312</v>
      </c>
      <c r="H29" s="57">
        <v>16.7</v>
      </c>
      <c r="I29" s="40" t="str">
        <f t="shared" si="0"/>
        <v>&lt;250M</v>
      </c>
      <c r="J29" s="39" t="str">
        <f>_xlfn.XLOOKUP(B29,'[1]FY24 WLA'!$A:$A,'[1]FY24 WLA'!$AD:$AD)</f>
        <v>NN</v>
      </c>
      <c r="K29" s="59"/>
      <c r="L29" s="58"/>
      <c r="M29" s="59"/>
      <c r="N29" s="58"/>
      <c r="O29" s="59"/>
      <c r="P29" s="58"/>
      <c r="Q29" s="60" t="s">
        <v>471</v>
      </c>
      <c r="R29" s="60"/>
      <c r="S29" s="60" t="s">
        <v>465</v>
      </c>
      <c r="T29" s="60"/>
      <c r="U29" s="60"/>
      <c r="V29" s="60" t="s">
        <v>469</v>
      </c>
      <c r="W29" s="60"/>
      <c r="X29" s="60"/>
      <c r="Y29" s="60"/>
      <c r="Z29" s="63" t="s">
        <v>27</v>
      </c>
      <c r="AA29" s="63" t="s">
        <v>100</v>
      </c>
      <c r="AB29" s="63" t="s">
        <v>336</v>
      </c>
      <c r="AC29" s="63" t="s">
        <v>119</v>
      </c>
    </row>
    <row r="30" spans="2:29" s="61" customFormat="1" ht="36" x14ac:dyDescent="0.35">
      <c r="B30" s="60">
        <v>292205</v>
      </c>
      <c r="C30" s="60" t="s">
        <v>12</v>
      </c>
      <c r="D30" s="60" t="s">
        <v>8</v>
      </c>
      <c r="E30" s="56" t="s">
        <v>350</v>
      </c>
      <c r="F30" s="55" t="s">
        <v>496</v>
      </c>
      <c r="G30" s="56" t="s">
        <v>497</v>
      </c>
      <c r="H30" s="57">
        <v>100</v>
      </c>
      <c r="I30" s="40" t="str">
        <f t="shared" si="0"/>
        <v>&lt;250M</v>
      </c>
      <c r="J30" s="39" t="str">
        <f>_xlfn.XLOOKUP(B30,'[1]FY24 WLA'!$A:$A,'[1]FY24 WLA'!$AD:$AD)</f>
        <v>NN</v>
      </c>
      <c r="K30" s="59"/>
      <c r="L30" s="58"/>
      <c r="M30" s="59"/>
      <c r="N30" s="58"/>
      <c r="O30" s="59"/>
      <c r="P30" s="58"/>
      <c r="Q30" s="60"/>
      <c r="R30" s="60"/>
      <c r="S30" s="60"/>
      <c r="T30" s="60"/>
      <c r="U30" s="60"/>
      <c r="V30" s="60"/>
      <c r="W30" s="60"/>
      <c r="X30" s="60"/>
      <c r="Y30" s="60"/>
      <c r="Z30" s="63"/>
      <c r="AA30" s="63"/>
      <c r="AB30" s="63"/>
      <c r="AC30" s="63"/>
    </row>
    <row r="31" spans="2:29" s="61" customFormat="1" ht="36" x14ac:dyDescent="0.35">
      <c r="B31" s="60">
        <v>294569</v>
      </c>
      <c r="C31" s="60" t="s">
        <v>12</v>
      </c>
      <c r="D31" s="60" t="s">
        <v>8</v>
      </c>
      <c r="E31" s="56" t="s">
        <v>350</v>
      </c>
      <c r="F31" s="55" t="s">
        <v>501</v>
      </c>
      <c r="G31" s="56" t="s">
        <v>502</v>
      </c>
      <c r="H31" s="57">
        <v>186</v>
      </c>
      <c r="I31" s="40" t="str">
        <f t="shared" si="0"/>
        <v>&lt;250M</v>
      </c>
      <c r="J31" s="39" t="str">
        <f>_xlfn.XLOOKUP(B31,'[1]FY24 WLA'!$A:$A,'[1]FY24 WLA'!$AD:$AD)</f>
        <v>EN</v>
      </c>
      <c r="K31" s="59"/>
      <c r="L31" s="58"/>
      <c r="M31" s="59"/>
      <c r="N31" s="58"/>
      <c r="O31" s="59"/>
      <c r="P31" s="58"/>
      <c r="Q31" s="60"/>
      <c r="R31" s="60"/>
      <c r="S31" s="60"/>
      <c r="T31" s="60"/>
      <c r="U31" s="60"/>
      <c r="V31" s="60"/>
      <c r="W31" s="60"/>
      <c r="X31" s="60"/>
      <c r="Y31" s="60"/>
      <c r="Z31" s="63"/>
      <c r="AA31" s="63"/>
      <c r="AB31" s="63"/>
      <c r="AC31" s="63"/>
    </row>
    <row r="32" spans="2:29" ht="84" x14ac:dyDescent="0.35">
      <c r="B32" s="28">
        <v>314023</v>
      </c>
      <c r="C32" s="28" t="s">
        <v>25</v>
      </c>
      <c r="D32" s="28" t="s">
        <v>345</v>
      </c>
      <c r="E32" s="42" t="s">
        <v>359</v>
      </c>
      <c r="F32" s="41" t="s">
        <v>70</v>
      </c>
      <c r="G32" s="42" t="s">
        <v>71</v>
      </c>
      <c r="H32" s="64">
        <v>53</v>
      </c>
      <c r="I32" s="40" t="str">
        <f t="shared" si="0"/>
        <v>&lt;250M</v>
      </c>
      <c r="J32" s="39" t="str">
        <f>_xlfn.XLOOKUP(B32,'[1]FY25 Pipeline'!$A:$A,'[1]FY25 Pipeline'!$AF:$AF)</f>
        <v>EN</v>
      </c>
      <c r="K32" s="53" t="s">
        <v>0</v>
      </c>
      <c r="L32" s="39" t="s">
        <v>448</v>
      </c>
      <c r="M32" s="53" t="s">
        <v>444</v>
      </c>
      <c r="N32" s="39" t="s">
        <v>434</v>
      </c>
      <c r="O32" s="69" t="s">
        <v>1</v>
      </c>
      <c r="P32" s="70" t="s">
        <v>433</v>
      </c>
      <c r="Q32" s="28"/>
      <c r="R32" s="64"/>
      <c r="S32" s="64" t="s">
        <v>465</v>
      </c>
      <c r="T32" s="64"/>
      <c r="U32" s="64"/>
      <c r="V32" s="64" t="s">
        <v>111</v>
      </c>
      <c r="W32" s="64"/>
      <c r="X32" s="64"/>
      <c r="Y32" s="64"/>
      <c r="Z32" s="62" t="s">
        <v>72</v>
      </c>
      <c r="AA32" s="62" t="s">
        <v>73</v>
      </c>
      <c r="AB32" s="62" t="s">
        <v>76</v>
      </c>
      <c r="AC32" s="62" t="s">
        <v>77</v>
      </c>
    </row>
    <row r="33" spans="2:29" ht="84" x14ac:dyDescent="0.35">
      <c r="B33" s="28">
        <v>271505</v>
      </c>
      <c r="C33" s="28" t="s">
        <v>43</v>
      </c>
      <c r="D33" s="28" t="s">
        <v>345</v>
      </c>
      <c r="E33" s="42" t="s">
        <v>359</v>
      </c>
      <c r="F33" s="41" t="s">
        <v>64</v>
      </c>
      <c r="G33" s="42" t="s">
        <v>65</v>
      </c>
      <c r="H33" s="64">
        <v>67</v>
      </c>
      <c r="I33" s="40" t="str">
        <f t="shared" si="0"/>
        <v>&lt;250M</v>
      </c>
      <c r="J33" s="39" t="str">
        <f>_xlfn.XLOOKUP(B33,'[1]FY25 Pipeline'!$A:$A,'[1]FY25 Pipeline'!$AF:$AF)</f>
        <v>NN</v>
      </c>
      <c r="K33" s="53" t="s">
        <v>0</v>
      </c>
      <c r="L33" s="39" t="s">
        <v>448</v>
      </c>
      <c r="M33" s="53" t="s">
        <v>444</v>
      </c>
      <c r="N33" s="39" t="s">
        <v>434</v>
      </c>
      <c r="O33" s="53" t="s">
        <v>1</v>
      </c>
      <c r="P33" s="39" t="s">
        <v>433</v>
      </c>
      <c r="Q33" s="64" t="s">
        <v>490</v>
      </c>
      <c r="R33" s="64"/>
      <c r="S33" s="64" t="s">
        <v>465</v>
      </c>
      <c r="T33" s="64"/>
      <c r="U33" s="64"/>
      <c r="V33" s="64" t="s">
        <v>111</v>
      </c>
      <c r="W33" s="64"/>
      <c r="X33" s="64"/>
      <c r="Y33" s="64"/>
      <c r="Z33" s="62" t="s">
        <v>22</v>
      </c>
      <c r="AA33" s="62" t="s">
        <v>23</v>
      </c>
      <c r="AB33" s="62" t="s">
        <v>66</v>
      </c>
      <c r="AC33" s="62" t="e">
        <v>#N/A</v>
      </c>
    </row>
    <row r="34" spans="2:29" ht="60" x14ac:dyDescent="0.35">
      <c r="B34" s="28">
        <v>274038</v>
      </c>
      <c r="C34" s="28" t="s">
        <v>43</v>
      </c>
      <c r="D34" s="28" t="s">
        <v>345</v>
      </c>
      <c r="E34" s="42" t="s">
        <v>359</v>
      </c>
      <c r="F34" s="41" t="s">
        <v>80</v>
      </c>
      <c r="G34" s="42" t="s">
        <v>81</v>
      </c>
      <c r="H34" s="64">
        <v>49</v>
      </c>
      <c r="I34" s="40" t="str">
        <f t="shared" si="0"/>
        <v>&lt;250M</v>
      </c>
      <c r="J34" s="39" t="str">
        <f>_xlfn.XLOOKUP(B34,'[1]FY25 Pipeline'!$A:$A,'[1]FY25 Pipeline'!$AF:$AF)</f>
        <v>EN</v>
      </c>
      <c r="K34" s="53" t="s">
        <v>0</v>
      </c>
      <c r="L34" s="39" t="s">
        <v>448</v>
      </c>
      <c r="M34" s="53" t="s">
        <v>444</v>
      </c>
      <c r="N34" s="39" t="s">
        <v>446</v>
      </c>
      <c r="O34" s="53" t="s">
        <v>444</v>
      </c>
      <c r="P34" s="39" t="s">
        <v>435</v>
      </c>
      <c r="Q34" s="64" t="s">
        <v>491</v>
      </c>
      <c r="R34" s="64"/>
      <c r="S34" s="64" t="s">
        <v>465</v>
      </c>
      <c r="T34" s="64"/>
      <c r="U34" s="64"/>
      <c r="V34" s="64" t="s">
        <v>111</v>
      </c>
      <c r="W34" s="64"/>
      <c r="X34" s="64"/>
      <c r="Y34" s="64"/>
      <c r="Z34" s="62" t="s">
        <v>27</v>
      </c>
      <c r="AA34" s="62" t="s">
        <v>23</v>
      </c>
      <c r="AB34" s="62" t="s">
        <v>82</v>
      </c>
      <c r="AC34" s="62">
        <v>0</v>
      </c>
    </row>
    <row r="35" spans="2:29" ht="60" x14ac:dyDescent="0.35">
      <c r="B35" s="28">
        <v>300149</v>
      </c>
      <c r="C35" s="28" t="s">
        <v>25</v>
      </c>
      <c r="D35" s="28" t="s">
        <v>345</v>
      </c>
      <c r="E35" s="42" t="s">
        <v>359</v>
      </c>
      <c r="F35" s="41" t="s">
        <v>84</v>
      </c>
      <c r="G35" s="42" t="s">
        <v>85</v>
      </c>
      <c r="H35" s="64">
        <v>34.6</v>
      </c>
      <c r="I35" s="40" t="str">
        <f t="shared" ref="I35:I66" si="1">IF(H35&lt;250, "&lt;250M", "&gt;=250M")</f>
        <v>&lt;250M</v>
      </c>
      <c r="J35" s="39" t="str">
        <f>_xlfn.XLOOKUP(B35,'[1]FY25 Pipeline'!$A:$A,'[1]FY25 Pipeline'!$AF:$AF)</f>
        <v>EN</v>
      </c>
      <c r="K35" s="52" t="s">
        <v>444</v>
      </c>
      <c r="L35" s="30" t="s">
        <v>434</v>
      </c>
      <c r="M35" s="52" t="s">
        <v>0</v>
      </c>
      <c r="N35" s="30" t="s">
        <v>448</v>
      </c>
      <c r="O35" s="52" t="s">
        <v>444</v>
      </c>
      <c r="P35" s="30" t="s">
        <v>435</v>
      </c>
      <c r="Q35" s="64" t="s">
        <v>475</v>
      </c>
      <c r="R35" s="64"/>
      <c r="S35" s="64" t="s">
        <v>465</v>
      </c>
      <c r="T35" s="64"/>
      <c r="U35" s="64"/>
      <c r="V35" s="64" t="s">
        <v>111</v>
      </c>
      <c r="W35" s="64"/>
      <c r="X35" s="64"/>
      <c r="Y35" s="64"/>
      <c r="Z35" s="62" t="s">
        <v>72</v>
      </c>
      <c r="AA35" s="62"/>
      <c r="AB35" s="62" t="s">
        <v>86</v>
      </c>
      <c r="AC35" s="62" t="s">
        <v>87</v>
      </c>
    </row>
    <row r="36" spans="2:29" ht="84" x14ac:dyDescent="0.35">
      <c r="B36" s="28">
        <v>287391</v>
      </c>
      <c r="C36" s="28" t="s">
        <v>29</v>
      </c>
      <c r="D36" s="28" t="s">
        <v>345</v>
      </c>
      <c r="E36" s="42" t="s">
        <v>359</v>
      </c>
      <c r="F36" s="41" t="s">
        <v>89</v>
      </c>
      <c r="G36" s="42" t="s">
        <v>90</v>
      </c>
      <c r="H36" s="64">
        <v>24</v>
      </c>
      <c r="I36" s="40" t="str">
        <f t="shared" si="1"/>
        <v>&lt;250M</v>
      </c>
      <c r="J36" s="39" t="str">
        <f>_xlfn.XLOOKUP(B36,'[1]FY25 Pipeline'!$A:$A,'[1]FY25 Pipeline'!$AF:$AF)</f>
        <v>EN</v>
      </c>
      <c r="K36" s="53" t="s">
        <v>1</v>
      </c>
      <c r="L36" s="39" t="s">
        <v>433</v>
      </c>
      <c r="M36" s="53" t="s">
        <v>0</v>
      </c>
      <c r="N36" s="39" t="s">
        <v>447</v>
      </c>
      <c r="O36" s="53" t="s">
        <v>0</v>
      </c>
      <c r="P36" s="39" t="s">
        <v>448</v>
      </c>
      <c r="Q36" s="64" t="s">
        <v>489</v>
      </c>
      <c r="R36" s="64"/>
      <c r="S36" s="64" t="s">
        <v>465</v>
      </c>
      <c r="T36" s="64"/>
      <c r="U36" s="64"/>
      <c r="V36" s="64" t="s">
        <v>111</v>
      </c>
      <c r="W36" s="64"/>
      <c r="X36" s="64"/>
      <c r="Y36" s="64"/>
      <c r="Z36" s="62" t="s">
        <v>27</v>
      </c>
      <c r="AA36" s="62" t="s">
        <v>91</v>
      </c>
      <c r="AB36" s="62" t="s">
        <v>94</v>
      </c>
      <c r="AC36" s="62" t="s">
        <v>15</v>
      </c>
    </row>
    <row r="37" spans="2:29" ht="60" x14ac:dyDescent="0.35">
      <c r="B37" s="28">
        <v>297266</v>
      </c>
      <c r="C37" s="28" t="s">
        <v>150</v>
      </c>
      <c r="D37" s="28" t="s">
        <v>346</v>
      </c>
      <c r="E37" s="42" t="s">
        <v>359</v>
      </c>
      <c r="F37" s="41" t="s">
        <v>358</v>
      </c>
      <c r="G37" s="42" t="s">
        <v>360</v>
      </c>
      <c r="H37" s="64">
        <v>23</v>
      </c>
      <c r="I37" s="40" t="str">
        <f t="shared" si="1"/>
        <v>&lt;250M</v>
      </c>
      <c r="J37" s="39" t="str">
        <f>_xlfn.XLOOKUP(B37,'[1]FY25 Pipeline'!$A:$A,'[1]FY25 Pipeline'!$AF:$AF)</f>
        <v>EN</v>
      </c>
      <c r="K37" s="53" t="s">
        <v>0</v>
      </c>
      <c r="L37" s="39" t="s">
        <v>447</v>
      </c>
      <c r="M37" s="53" t="s">
        <v>1</v>
      </c>
      <c r="N37" s="39" t="s">
        <v>270</v>
      </c>
      <c r="O37" s="53" t="s">
        <v>444</v>
      </c>
      <c r="P37" s="39" t="s">
        <v>446</v>
      </c>
      <c r="Q37" s="64" t="s">
        <v>474</v>
      </c>
      <c r="R37" s="64"/>
      <c r="S37" s="64" t="s">
        <v>465</v>
      </c>
      <c r="T37" s="64"/>
      <c r="U37" s="64"/>
      <c r="V37" s="64" t="s">
        <v>111</v>
      </c>
      <c r="W37" s="64"/>
      <c r="X37" s="64"/>
      <c r="Y37" s="64"/>
      <c r="Z37" s="62" t="s">
        <v>403</v>
      </c>
      <c r="AA37" s="62" t="s">
        <v>404</v>
      </c>
      <c r="AB37" s="62" t="s">
        <v>405</v>
      </c>
      <c r="AC37" s="62" t="s">
        <v>19</v>
      </c>
    </row>
    <row r="38" spans="2:29" ht="84" x14ac:dyDescent="0.35">
      <c r="B38" s="66" t="s">
        <v>378</v>
      </c>
      <c r="C38" s="28" t="s">
        <v>29</v>
      </c>
      <c r="D38" s="28" t="s">
        <v>345</v>
      </c>
      <c r="E38" s="42" t="s">
        <v>359</v>
      </c>
      <c r="F38" s="41" t="s">
        <v>98</v>
      </c>
      <c r="G38" s="56" t="s">
        <v>99</v>
      </c>
      <c r="H38" s="64">
        <v>5</v>
      </c>
      <c r="I38" s="40" t="str">
        <f t="shared" si="1"/>
        <v>&lt;250M</v>
      </c>
      <c r="J38" s="39" t="s">
        <v>498</v>
      </c>
      <c r="K38" s="53" t="s">
        <v>1</v>
      </c>
      <c r="L38" s="39" t="s">
        <v>433</v>
      </c>
      <c r="M38" s="53" t="s">
        <v>0</v>
      </c>
      <c r="N38" s="39" t="s">
        <v>451</v>
      </c>
      <c r="O38" s="53"/>
      <c r="P38" s="39"/>
      <c r="Q38" s="64" t="s">
        <v>457</v>
      </c>
      <c r="R38" s="64"/>
      <c r="S38" s="64" t="s">
        <v>111</v>
      </c>
      <c r="T38" s="64"/>
      <c r="U38" s="64"/>
      <c r="V38" s="64" t="s">
        <v>111</v>
      </c>
      <c r="W38" s="64"/>
      <c r="X38" s="64"/>
      <c r="Y38" s="64"/>
      <c r="Z38" s="62" t="s">
        <v>27</v>
      </c>
      <c r="AA38" s="62" t="s">
        <v>100</v>
      </c>
      <c r="AB38" s="62" t="s">
        <v>101</v>
      </c>
      <c r="AC38" s="62" t="s">
        <v>102</v>
      </c>
    </row>
    <row r="39" spans="2:29" ht="84" x14ac:dyDescent="0.35">
      <c r="B39" s="28">
        <v>302940</v>
      </c>
      <c r="C39" s="28" t="s">
        <v>29</v>
      </c>
      <c r="D39" s="28" t="s">
        <v>8</v>
      </c>
      <c r="E39" s="28" t="s">
        <v>359</v>
      </c>
      <c r="F39" s="41" t="s">
        <v>298</v>
      </c>
      <c r="G39" s="42" t="s">
        <v>379</v>
      </c>
      <c r="H39" s="64">
        <v>82</v>
      </c>
      <c r="I39" s="40" t="str">
        <f t="shared" si="1"/>
        <v>&lt;250M</v>
      </c>
      <c r="J39" s="39" t="str">
        <f>_xlfn.XLOOKUP(B39,'[1]FY24 WLA'!$A:$A,'[1]FY24 WLA'!$AD:$AD)</f>
        <v>EN</v>
      </c>
      <c r="K39" s="53" t="s">
        <v>1</v>
      </c>
      <c r="L39" s="30" t="s">
        <v>433</v>
      </c>
      <c r="M39" s="53" t="s">
        <v>444</v>
      </c>
      <c r="N39" s="39" t="s">
        <v>434</v>
      </c>
      <c r="O39" s="53" t="s">
        <v>2</v>
      </c>
      <c r="P39" s="39" t="s">
        <v>442</v>
      </c>
      <c r="Q39" s="64" t="s">
        <v>454</v>
      </c>
      <c r="R39" s="64"/>
      <c r="S39" s="64" t="s">
        <v>465</v>
      </c>
      <c r="T39" s="64"/>
      <c r="U39" s="64"/>
      <c r="V39" s="64" t="s">
        <v>111</v>
      </c>
      <c r="W39" s="64"/>
      <c r="X39" s="64"/>
      <c r="Y39" s="64"/>
      <c r="Z39" s="62" t="s">
        <v>27</v>
      </c>
      <c r="AA39" s="62"/>
      <c r="AB39" s="62"/>
      <c r="AC39" s="62"/>
    </row>
    <row r="40" spans="2:29" ht="84" x14ac:dyDescent="0.35">
      <c r="B40" s="28">
        <v>267483</v>
      </c>
      <c r="C40" s="28" t="s">
        <v>29</v>
      </c>
      <c r="D40" s="28" t="s">
        <v>8</v>
      </c>
      <c r="E40" s="28" t="s">
        <v>359</v>
      </c>
      <c r="F40" s="41" t="s">
        <v>380</v>
      </c>
      <c r="G40" s="42" t="s">
        <v>381</v>
      </c>
      <c r="H40" s="64">
        <v>45</v>
      </c>
      <c r="I40" s="40" t="str">
        <f t="shared" si="1"/>
        <v>&lt;250M</v>
      </c>
      <c r="J40" s="39" t="str">
        <f>_xlfn.XLOOKUP(B40,'[1]FY24 WLA'!$A:$A,'[1]FY24 WLA'!$AD:$AD)</f>
        <v>NN</v>
      </c>
      <c r="K40" s="53" t="s">
        <v>1</v>
      </c>
      <c r="L40" s="30" t="s">
        <v>433</v>
      </c>
      <c r="M40" s="52" t="s">
        <v>2</v>
      </c>
      <c r="N40" s="30" t="s">
        <v>442</v>
      </c>
      <c r="O40" s="52" t="s">
        <v>0</v>
      </c>
      <c r="P40" s="39" t="s">
        <v>448</v>
      </c>
      <c r="Q40" s="64" t="s">
        <v>456</v>
      </c>
      <c r="R40" s="64"/>
      <c r="S40" s="64" t="s">
        <v>465</v>
      </c>
      <c r="T40" s="64"/>
      <c r="U40" s="64"/>
      <c r="V40" s="64" t="s">
        <v>111</v>
      </c>
      <c r="W40" s="64"/>
      <c r="X40" s="64"/>
      <c r="Y40" s="64"/>
      <c r="Z40" s="62" t="s">
        <v>421</v>
      </c>
      <c r="AA40" s="62" t="s">
        <v>407</v>
      </c>
      <c r="AB40" s="62"/>
      <c r="AC40" s="62"/>
    </row>
    <row r="41" spans="2:29" ht="84" x14ac:dyDescent="0.35">
      <c r="B41" s="28">
        <v>263864</v>
      </c>
      <c r="C41" s="28" t="s">
        <v>29</v>
      </c>
      <c r="D41" s="28" t="s">
        <v>8</v>
      </c>
      <c r="E41" s="28" t="s">
        <v>359</v>
      </c>
      <c r="F41" s="41" t="s">
        <v>32</v>
      </c>
      <c r="G41" s="42" t="s">
        <v>382</v>
      </c>
      <c r="H41" s="64">
        <v>20</v>
      </c>
      <c r="I41" s="40" t="str">
        <f t="shared" si="1"/>
        <v>&lt;250M</v>
      </c>
      <c r="J41" s="39" t="str">
        <f>_xlfn.XLOOKUP(B41,'[1]FY24 WLA'!$A:$A,'[1]FY24 WLA'!$AD:$AD)</f>
        <v>EN</v>
      </c>
      <c r="K41" s="53" t="s">
        <v>0</v>
      </c>
      <c r="L41" s="30" t="s">
        <v>448</v>
      </c>
      <c r="M41" s="52" t="s">
        <v>1</v>
      </c>
      <c r="N41" s="30" t="s">
        <v>433</v>
      </c>
      <c r="O41" s="52" t="s">
        <v>444</v>
      </c>
      <c r="P41" s="30" t="s">
        <v>435</v>
      </c>
      <c r="Q41" s="64" t="s">
        <v>455</v>
      </c>
      <c r="R41" s="64"/>
      <c r="S41" s="64" t="s">
        <v>111</v>
      </c>
      <c r="T41" s="64"/>
      <c r="U41" s="64"/>
      <c r="V41" s="64" t="s">
        <v>111</v>
      </c>
      <c r="W41" s="64"/>
      <c r="X41" s="64"/>
      <c r="Y41" s="64"/>
      <c r="Z41" s="62" t="s">
        <v>27</v>
      </c>
      <c r="AA41" s="62"/>
      <c r="AB41" s="62"/>
      <c r="AC41" s="62"/>
    </row>
    <row r="42" spans="2:29" ht="84" x14ac:dyDescent="0.35">
      <c r="B42" s="28">
        <v>271483</v>
      </c>
      <c r="C42" s="28" t="s">
        <v>150</v>
      </c>
      <c r="D42" s="28" t="s">
        <v>8</v>
      </c>
      <c r="E42" s="28" t="s">
        <v>359</v>
      </c>
      <c r="F42" s="41" t="s">
        <v>383</v>
      </c>
      <c r="G42" s="42" t="s">
        <v>384</v>
      </c>
      <c r="H42" s="64">
        <v>7.7</v>
      </c>
      <c r="I42" s="40" t="str">
        <f t="shared" si="1"/>
        <v>&lt;250M</v>
      </c>
      <c r="J42" s="39" t="str">
        <f>_xlfn.XLOOKUP(B42,'[1]FY24 WLA'!$A:$A,'[1]FY24 WLA'!$AD:$AD)</f>
        <v>EN</v>
      </c>
      <c r="K42" s="52" t="s">
        <v>0</v>
      </c>
      <c r="L42" s="30" t="s">
        <v>447</v>
      </c>
      <c r="M42" s="52" t="s">
        <v>0</v>
      </c>
      <c r="N42" s="30" t="s">
        <v>448</v>
      </c>
      <c r="O42" s="52" t="s">
        <v>1</v>
      </c>
      <c r="P42" s="30" t="s">
        <v>433</v>
      </c>
      <c r="Q42" s="64" t="s">
        <v>473</v>
      </c>
      <c r="R42" s="64"/>
      <c r="S42" s="64" t="s">
        <v>465</v>
      </c>
      <c r="T42" s="64"/>
      <c r="U42" s="64"/>
      <c r="V42" s="64" t="s">
        <v>111</v>
      </c>
      <c r="W42" s="64"/>
      <c r="X42" s="64"/>
      <c r="Y42" s="64"/>
      <c r="Z42" s="62"/>
      <c r="AA42" s="62" t="s">
        <v>404</v>
      </c>
      <c r="AB42" s="62"/>
      <c r="AC42" s="62"/>
    </row>
    <row r="43" spans="2:29" ht="84" x14ac:dyDescent="0.35">
      <c r="B43" s="66" t="s">
        <v>378</v>
      </c>
      <c r="C43" s="28" t="s">
        <v>29</v>
      </c>
      <c r="D43" s="28" t="s">
        <v>8</v>
      </c>
      <c r="E43" s="28" t="s">
        <v>359</v>
      </c>
      <c r="F43" s="41" t="s">
        <v>98</v>
      </c>
      <c r="G43" s="42" t="s">
        <v>385</v>
      </c>
      <c r="H43" s="67">
        <v>0.63400000000000001</v>
      </c>
      <c r="I43" s="40" t="str">
        <f t="shared" si="1"/>
        <v>&lt;250M</v>
      </c>
      <c r="J43" s="39" t="str">
        <f>_xlfn.XLOOKUP(B43,'[1]FY24 WLA'!$A:$A,'[1]FY24 WLA'!$AD:$AD)</f>
        <v>EN</v>
      </c>
      <c r="K43" s="52" t="s">
        <v>1</v>
      </c>
      <c r="L43" s="30" t="s">
        <v>433</v>
      </c>
      <c r="M43" s="52" t="s">
        <v>0</v>
      </c>
      <c r="N43" s="30" t="s">
        <v>451</v>
      </c>
      <c r="O43" s="52"/>
      <c r="P43" s="30"/>
      <c r="Q43" s="64" t="s">
        <v>487</v>
      </c>
      <c r="R43" s="64"/>
      <c r="S43" s="64" t="s">
        <v>465</v>
      </c>
      <c r="T43" s="64"/>
      <c r="U43" s="64"/>
      <c r="V43" s="64" t="s">
        <v>111</v>
      </c>
      <c r="W43" s="64"/>
      <c r="X43" s="64"/>
      <c r="Y43" s="64"/>
      <c r="Z43" s="62"/>
      <c r="AA43" s="62" t="s">
        <v>422</v>
      </c>
      <c r="AB43" s="62"/>
      <c r="AC43" s="62"/>
    </row>
    <row r="44" spans="2:29" ht="36" x14ac:dyDescent="0.35">
      <c r="B44" s="28">
        <v>250273</v>
      </c>
      <c r="C44" s="28" t="s">
        <v>150</v>
      </c>
      <c r="D44" s="28" t="s">
        <v>8</v>
      </c>
      <c r="E44" s="68" t="s">
        <v>386</v>
      </c>
      <c r="F44" s="41" t="s">
        <v>387</v>
      </c>
      <c r="G44" s="42" t="s">
        <v>395</v>
      </c>
      <c r="H44" s="64">
        <v>210</v>
      </c>
      <c r="I44" s="40" t="str">
        <f t="shared" si="1"/>
        <v>&lt;250M</v>
      </c>
      <c r="J44" s="39" t="str">
        <f>_xlfn.XLOOKUP(B44,'[1]FY24 WLA'!$A:$A,'[1]FY24 WLA'!$AD:$AD)</f>
        <v>EN</v>
      </c>
      <c r="K44" s="53"/>
      <c r="L44" s="39"/>
      <c r="M44" s="53"/>
      <c r="N44" s="39"/>
      <c r="O44" s="53"/>
      <c r="P44" s="39"/>
      <c r="Q44" s="64"/>
      <c r="R44" s="64"/>
      <c r="S44" s="64" t="s">
        <v>503</v>
      </c>
      <c r="T44" s="64"/>
      <c r="U44" s="64"/>
      <c r="V44" s="64"/>
      <c r="W44" s="64"/>
      <c r="X44" s="64"/>
      <c r="Y44" s="64"/>
      <c r="Z44" s="42" t="s">
        <v>406</v>
      </c>
      <c r="AA44" s="42" t="s">
        <v>408</v>
      </c>
      <c r="AB44" s="64" t="s">
        <v>411</v>
      </c>
      <c r="AC44" s="64" t="s">
        <v>412</v>
      </c>
    </row>
    <row r="45" spans="2:29" ht="24" x14ac:dyDescent="0.35">
      <c r="B45" s="28">
        <v>248616</v>
      </c>
      <c r="C45" s="28" t="s">
        <v>150</v>
      </c>
      <c r="D45" s="28" t="s">
        <v>8</v>
      </c>
      <c r="E45" s="68" t="s">
        <v>386</v>
      </c>
      <c r="F45" s="41" t="s">
        <v>250</v>
      </c>
      <c r="G45" s="42" t="s">
        <v>251</v>
      </c>
      <c r="H45" s="64">
        <v>120</v>
      </c>
      <c r="I45" s="40" t="str">
        <f t="shared" si="1"/>
        <v>&lt;250M</v>
      </c>
      <c r="J45" s="39" t="str">
        <f>_xlfn.XLOOKUP(B45,'[1]FY24 WLA'!$A:$A,'[1]FY24 WLA'!$AD:$AD)</f>
        <v>EN</v>
      </c>
      <c r="K45" s="53"/>
      <c r="L45" s="39"/>
      <c r="M45" s="53"/>
      <c r="N45" s="39"/>
      <c r="O45" s="53"/>
      <c r="P45" s="39"/>
      <c r="Q45" s="64"/>
      <c r="R45" s="64"/>
      <c r="S45" s="64" t="s">
        <v>503</v>
      </c>
      <c r="T45" s="64"/>
      <c r="U45" s="64"/>
      <c r="V45" s="64"/>
      <c r="W45" s="64"/>
      <c r="X45" s="64"/>
      <c r="Y45" s="64"/>
      <c r="Z45" s="42" t="s">
        <v>153</v>
      </c>
      <c r="AA45" s="42" t="s">
        <v>409</v>
      </c>
      <c r="AB45" s="64" t="s">
        <v>18</v>
      </c>
      <c r="AC45" s="64" t="s">
        <v>19</v>
      </c>
    </row>
    <row r="46" spans="2:29" ht="24" x14ac:dyDescent="0.35">
      <c r="B46" s="28">
        <v>281912</v>
      </c>
      <c r="C46" s="28" t="s">
        <v>150</v>
      </c>
      <c r="D46" s="28" t="s">
        <v>8</v>
      </c>
      <c r="E46" s="68" t="s">
        <v>386</v>
      </c>
      <c r="F46" s="41" t="s">
        <v>388</v>
      </c>
      <c r="G46" s="42" t="s">
        <v>396</v>
      </c>
      <c r="H46" s="64">
        <v>100</v>
      </c>
      <c r="I46" s="40" t="str">
        <f t="shared" si="1"/>
        <v>&lt;250M</v>
      </c>
      <c r="J46" s="39" t="str">
        <f>_xlfn.XLOOKUP(B46,'[1]FY24 WLA'!$A:$A,'[1]FY24 WLA'!$AD:$AD)</f>
        <v>NN</v>
      </c>
      <c r="K46" s="53"/>
      <c r="L46" s="39"/>
      <c r="M46" s="53"/>
      <c r="N46" s="39"/>
      <c r="O46" s="53"/>
      <c r="P46" s="39"/>
      <c r="Q46" s="64"/>
      <c r="R46" s="64"/>
      <c r="S46" s="64" t="s">
        <v>503</v>
      </c>
      <c r="T46" s="64"/>
      <c r="U46" s="64"/>
      <c r="V46" s="64"/>
      <c r="W46" s="64"/>
      <c r="X46" s="64"/>
      <c r="Y46" s="64"/>
      <c r="Z46" s="42" t="s">
        <v>315</v>
      </c>
      <c r="AA46" s="42"/>
      <c r="AB46" s="64" t="s">
        <v>413</v>
      </c>
      <c r="AC46" s="64"/>
    </row>
    <row r="47" spans="2:29" ht="48" x14ac:dyDescent="0.35">
      <c r="B47" s="28">
        <v>291711</v>
      </c>
      <c r="C47" s="28" t="s">
        <v>25</v>
      </c>
      <c r="D47" s="28" t="s">
        <v>8</v>
      </c>
      <c r="E47" s="68" t="s">
        <v>386</v>
      </c>
      <c r="F47" s="41" t="s">
        <v>389</v>
      </c>
      <c r="G47" s="42" t="s">
        <v>397</v>
      </c>
      <c r="H47" s="64">
        <v>96.067599999999999</v>
      </c>
      <c r="I47" s="40" t="str">
        <f t="shared" si="1"/>
        <v>&lt;250M</v>
      </c>
      <c r="J47" s="39" t="str">
        <f>_xlfn.XLOOKUP(B47,'[1]FY24 WLA'!$A:$A,'[1]FY24 WLA'!$AD:$AD)</f>
        <v>EN</v>
      </c>
      <c r="K47" s="53"/>
      <c r="L47" s="39"/>
      <c r="M47" s="53"/>
      <c r="N47" s="39"/>
      <c r="O47" s="53"/>
      <c r="P47" s="39"/>
      <c r="Q47" s="64"/>
      <c r="R47" s="64"/>
      <c r="S47" s="64" t="s">
        <v>503</v>
      </c>
      <c r="T47" s="64"/>
      <c r="U47" s="64"/>
      <c r="V47" s="64"/>
      <c r="W47" s="64"/>
      <c r="X47" s="64"/>
      <c r="Y47" s="64"/>
      <c r="Z47" s="42" t="s">
        <v>72</v>
      </c>
      <c r="AA47" s="42" t="s">
        <v>410</v>
      </c>
      <c r="AB47" s="64" t="s">
        <v>148</v>
      </c>
      <c r="AC47" s="64" t="s">
        <v>149</v>
      </c>
    </row>
    <row r="48" spans="2:29" ht="60" x14ac:dyDescent="0.35">
      <c r="B48" s="28">
        <v>270396</v>
      </c>
      <c r="C48" s="28" t="s">
        <v>25</v>
      </c>
      <c r="D48" s="28" t="s">
        <v>8</v>
      </c>
      <c r="E48" s="68" t="s">
        <v>386</v>
      </c>
      <c r="F48" s="41" t="s">
        <v>390</v>
      </c>
      <c r="G48" s="42" t="s">
        <v>398</v>
      </c>
      <c r="H48" s="64">
        <v>61</v>
      </c>
      <c r="I48" s="40" t="str">
        <f t="shared" si="1"/>
        <v>&lt;250M</v>
      </c>
      <c r="J48" s="39" t="str">
        <f>_xlfn.XLOOKUP(B48,'[1]FY24 WLA'!$A:$A,'[1]FY24 WLA'!$AD:$AD)</f>
        <v>NN</v>
      </c>
      <c r="K48" s="53"/>
      <c r="L48" s="39"/>
      <c r="M48" s="53"/>
      <c r="N48" s="39"/>
      <c r="O48" s="53"/>
      <c r="P48" s="39"/>
      <c r="Q48" s="64"/>
      <c r="R48" s="64"/>
      <c r="S48" s="64" t="s">
        <v>503</v>
      </c>
      <c r="T48" s="64"/>
      <c r="U48" s="64"/>
      <c r="V48" s="64"/>
      <c r="W48" s="64"/>
      <c r="X48" s="64"/>
      <c r="Y48" s="64"/>
      <c r="Z48" s="42" t="s">
        <v>317</v>
      </c>
      <c r="AA48" s="42"/>
      <c r="AB48" s="64" t="s">
        <v>414</v>
      </c>
      <c r="AC48" s="64" t="s">
        <v>415</v>
      </c>
    </row>
    <row r="49" spans="2:29" ht="48" x14ac:dyDescent="0.35">
      <c r="B49" s="28">
        <v>294814</v>
      </c>
      <c r="C49" s="28" t="s">
        <v>29</v>
      </c>
      <c r="D49" s="28" t="s">
        <v>8</v>
      </c>
      <c r="E49" s="68" t="s">
        <v>386</v>
      </c>
      <c r="F49" s="41" t="s">
        <v>391</v>
      </c>
      <c r="G49" s="42" t="s">
        <v>399</v>
      </c>
      <c r="H49" s="64">
        <v>60</v>
      </c>
      <c r="I49" s="40" t="str">
        <f t="shared" si="1"/>
        <v>&lt;250M</v>
      </c>
      <c r="J49" s="39" t="str">
        <f>_xlfn.XLOOKUP(B49,'[1]FY24 WLA'!$A:$A,'[1]FY24 WLA'!$AD:$AD)</f>
        <v>EN</v>
      </c>
      <c r="K49" s="53"/>
      <c r="L49" s="39"/>
      <c r="M49" s="53"/>
      <c r="N49" s="39"/>
      <c r="O49" s="53"/>
      <c r="P49" s="39"/>
      <c r="Q49" s="64"/>
      <c r="R49" s="64"/>
      <c r="S49" s="28" t="s">
        <v>465</v>
      </c>
      <c r="T49" s="64"/>
      <c r="U49" s="64"/>
      <c r="V49" s="64"/>
      <c r="W49" s="64"/>
      <c r="X49" s="64"/>
      <c r="Y49" s="64"/>
      <c r="Z49" s="42" t="s">
        <v>16</v>
      </c>
      <c r="AA49" s="42"/>
      <c r="AB49" s="64" t="s">
        <v>264</v>
      </c>
      <c r="AC49" s="64" t="s">
        <v>416</v>
      </c>
    </row>
    <row r="50" spans="2:29" ht="36" x14ac:dyDescent="0.35">
      <c r="B50" s="28">
        <v>269049</v>
      </c>
      <c r="C50" s="28" t="s">
        <v>25</v>
      </c>
      <c r="D50" s="28" t="s">
        <v>8</v>
      </c>
      <c r="E50" s="68" t="s">
        <v>386</v>
      </c>
      <c r="F50" s="41" t="s">
        <v>392</v>
      </c>
      <c r="G50" s="42" t="s">
        <v>400</v>
      </c>
      <c r="H50" s="64">
        <v>36</v>
      </c>
      <c r="I50" s="40" t="str">
        <f t="shared" si="1"/>
        <v>&lt;250M</v>
      </c>
      <c r="J50" s="39" t="str">
        <f>_xlfn.XLOOKUP(B50,'[1]FY24 WLA'!$A:$A,'[1]FY24 WLA'!$AD:$AD)</f>
        <v>NN</v>
      </c>
      <c r="K50" s="53"/>
      <c r="L50" s="39"/>
      <c r="M50" s="53"/>
      <c r="N50" s="39"/>
      <c r="O50" s="53"/>
      <c r="P50" s="39"/>
      <c r="Q50" s="64"/>
      <c r="R50" s="64"/>
      <c r="S50" s="64" t="s">
        <v>503</v>
      </c>
      <c r="T50" s="64"/>
      <c r="U50" s="64"/>
      <c r="V50" s="64"/>
      <c r="W50" s="64"/>
      <c r="X50" s="64"/>
      <c r="Y50" s="64"/>
      <c r="Z50" s="42" t="s">
        <v>317</v>
      </c>
      <c r="AA50" s="42"/>
      <c r="AB50" s="64" t="s">
        <v>417</v>
      </c>
      <c r="AC50" s="64" t="s">
        <v>77</v>
      </c>
    </row>
    <row r="51" spans="2:29" ht="36" x14ac:dyDescent="0.35">
      <c r="B51" s="28">
        <v>192073</v>
      </c>
      <c r="C51" s="28" t="s">
        <v>25</v>
      </c>
      <c r="D51" s="28" t="s">
        <v>8</v>
      </c>
      <c r="E51" s="68" t="s">
        <v>386</v>
      </c>
      <c r="F51" s="41" t="s">
        <v>393</v>
      </c>
      <c r="G51" s="42" t="s">
        <v>401</v>
      </c>
      <c r="H51" s="64">
        <v>23.5</v>
      </c>
      <c r="I51" s="40" t="str">
        <f t="shared" si="1"/>
        <v>&lt;250M</v>
      </c>
      <c r="J51" s="39" t="str">
        <f>_xlfn.XLOOKUP(B51,'[1]FY24 WLA'!$A:$A,'[1]FY24 WLA'!$AD:$AD)</f>
        <v>EN</v>
      </c>
      <c r="K51" s="53"/>
      <c r="L51" s="39"/>
      <c r="M51" s="53"/>
      <c r="N51" s="39"/>
      <c r="O51" s="53"/>
      <c r="P51" s="39"/>
      <c r="Q51" s="64"/>
      <c r="R51" s="64"/>
      <c r="S51" s="64" t="s">
        <v>503</v>
      </c>
      <c r="T51" s="64"/>
      <c r="U51" s="64"/>
      <c r="V51" s="64"/>
      <c r="W51" s="64"/>
      <c r="X51" s="64"/>
      <c r="Y51" s="64"/>
      <c r="Z51" s="42" t="s">
        <v>317</v>
      </c>
      <c r="AA51" s="42"/>
      <c r="AB51" s="42" t="s">
        <v>418</v>
      </c>
      <c r="AC51" s="42" t="s">
        <v>419</v>
      </c>
    </row>
    <row r="52" spans="2:29" ht="36" x14ac:dyDescent="0.35">
      <c r="B52" s="28">
        <v>260008</v>
      </c>
      <c r="C52" s="28" t="s">
        <v>43</v>
      </c>
      <c r="D52" s="28" t="s">
        <v>8</v>
      </c>
      <c r="E52" s="68" t="s">
        <v>386</v>
      </c>
      <c r="F52" s="41" t="s">
        <v>394</v>
      </c>
      <c r="G52" s="42" t="s">
        <v>402</v>
      </c>
      <c r="H52" s="64">
        <v>15</v>
      </c>
      <c r="I52" s="40" t="str">
        <f t="shared" si="1"/>
        <v>&lt;250M</v>
      </c>
      <c r="J52" s="39" t="str">
        <f>_xlfn.XLOOKUP(B52,'[1]FY24 WLA'!$A:$A,'[1]FY24 WLA'!$AD:$AD)</f>
        <v>NN</v>
      </c>
      <c r="K52" s="53"/>
      <c r="L52" s="39"/>
      <c r="M52" s="53"/>
      <c r="N52" s="39"/>
      <c r="O52" s="53"/>
      <c r="P52" s="39"/>
      <c r="Q52" s="64"/>
      <c r="R52" s="64"/>
      <c r="S52" s="64" t="s">
        <v>503</v>
      </c>
      <c r="T52" s="64"/>
      <c r="U52" s="64"/>
      <c r="V52" s="64"/>
      <c r="W52" s="64"/>
      <c r="X52" s="64"/>
      <c r="Y52" s="64"/>
      <c r="Z52" s="42" t="s">
        <v>27</v>
      </c>
      <c r="AA52" s="42"/>
      <c r="AB52" s="42" t="s">
        <v>420</v>
      </c>
      <c r="AC52" s="42"/>
    </row>
    <row r="53" spans="2:29" ht="24" x14ac:dyDescent="0.35">
      <c r="B53" s="28">
        <v>270807</v>
      </c>
      <c r="C53" s="28" t="s">
        <v>10</v>
      </c>
      <c r="D53" s="28" t="s">
        <v>345</v>
      </c>
      <c r="E53" s="68" t="s">
        <v>386</v>
      </c>
      <c r="F53" s="41" t="s">
        <v>160</v>
      </c>
      <c r="G53" s="42" t="s">
        <v>161</v>
      </c>
      <c r="H53" s="64">
        <v>140</v>
      </c>
      <c r="I53" s="40" t="str">
        <f t="shared" si="1"/>
        <v>&lt;250M</v>
      </c>
      <c r="J53" s="39" t="str">
        <f>_xlfn.XLOOKUP(B53,'[1]FY25 Pipeline'!$A:$A,'[1]FY25 Pipeline'!$AF:$AF)</f>
        <v>EN</v>
      </c>
      <c r="K53" s="53"/>
      <c r="L53" s="39"/>
      <c r="M53" s="53"/>
      <c r="N53" s="39"/>
      <c r="O53" s="53"/>
      <c r="P53" s="39"/>
      <c r="Q53" s="64"/>
      <c r="R53" s="64"/>
      <c r="S53" s="64" t="s">
        <v>503</v>
      </c>
      <c r="T53" s="64"/>
      <c r="U53" s="64"/>
      <c r="V53" s="64"/>
      <c r="W53" s="64"/>
      <c r="X53" s="64"/>
      <c r="Y53" s="64"/>
      <c r="Z53" s="42" t="s">
        <v>115</v>
      </c>
      <c r="AA53" s="42"/>
      <c r="AB53" s="42" t="s">
        <v>162</v>
      </c>
      <c r="AC53" s="42" t="s">
        <v>163</v>
      </c>
    </row>
    <row r="54" spans="2:29" ht="36" x14ac:dyDescent="0.35">
      <c r="B54" s="28">
        <v>260282</v>
      </c>
      <c r="C54" s="28" t="s">
        <v>150</v>
      </c>
      <c r="D54" s="28" t="s">
        <v>345</v>
      </c>
      <c r="E54" s="68" t="s">
        <v>386</v>
      </c>
      <c r="F54" s="41" t="s">
        <v>156</v>
      </c>
      <c r="G54" s="42" t="s">
        <v>157</v>
      </c>
      <c r="H54" s="64">
        <v>100</v>
      </c>
      <c r="I54" s="40" t="str">
        <f t="shared" si="1"/>
        <v>&lt;250M</v>
      </c>
      <c r="J54" s="39" t="str">
        <f>_xlfn.XLOOKUP(B54,'[1]FY25 Pipeline'!$A:$A,'[1]FY25 Pipeline'!$AF:$AF)</f>
        <v>EN</v>
      </c>
      <c r="K54" s="53"/>
      <c r="L54" s="39"/>
      <c r="M54" s="53"/>
      <c r="N54" s="39"/>
      <c r="O54" s="53"/>
      <c r="P54" s="39"/>
      <c r="Q54" s="64"/>
      <c r="R54" s="64"/>
      <c r="S54" s="64" t="s">
        <v>503</v>
      </c>
      <c r="T54" s="64"/>
      <c r="U54" s="64"/>
      <c r="V54" s="64"/>
      <c r="W54" s="64"/>
      <c r="X54" s="64"/>
      <c r="Y54" s="64"/>
      <c r="Z54" s="42" t="s">
        <v>22</v>
      </c>
      <c r="AA54" s="42" t="s">
        <v>110</v>
      </c>
      <c r="AB54" s="42" t="s">
        <v>158</v>
      </c>
      <c r="AC54" s="42" t="s">
        <v>159</v>
      </c>
    </row>
    <row r="55" spans="2:29" ht="36" x14ac:dyDescent="0.35">
      <c r="B55" s="28">
        <v>298278</v>
      </c>
      <c r="C55" s="28" t="s">
        <v>25</v>
      </c>
      <c r="D55" s="28" t="s">
        <v>345</v>
      </c>
      <c r="E55" s="68" t="s">
        <v>386</v>
      </c>
      <c r="F55" s="41" t="s">
        <v>144</v>
      </c>
      <c r="G55" s="42" t="s">
        <v>145</v>
      </c>
      <c r="H55" s="64">
        <v>82.5</v>
      </c>
      <c r="I55" s="40" t="str">
        <f t="shared" si="1"/>
        <v>&lt;250M</v>
      </c>
      <c r="J55" s="39" t="str">
        <f>_xlfn.XLOOKUP(B55,'[1]FY25 Pipeline'!$A:$A,'[1]FY25 Pipeline'!$AF:$AF)</f>
        <v>EN</v>
      </c>
      <c r="K55" s="53"/>
      <c r="L55" s="39"/>
      <c r="M55" s="53"/>
      <c r="N55" s="39"/>
      <c r="O55" s="53"/>
      <c r="P55" s="39"/>
      <c r="Q55" s="64"/>
      <c r="R55" s="64"/>
      <c r="S55" s="64" t="s">
        <v>503</v>
      </c>
      <c r="T55" s="64"/>
      <c r="U55" s="64"/>
      <c r="V55" s="64"/>
      <c r="W55" s="64"/>
      <c r="X55" s="64"/>
      <c r="Y55" s="64"/>
      <c r="Z55" s="42" t="s">
        <v>72</v>
      </c>
      <c r="AA55" s="42" t="s">
        <v>146</v>
      </c>
      <c r="AB55" s="42" t="s">
        <v>148</v>
      </c>
      <c r="AC55" s="42" t="s">
        <v>149</v>
      </c>
    </row>
    <row r="56" spans="2:29" ht="36" x14ac:dyDescent="0.35">
      <c r="B56" s="28">
        <v>249728</v>
      </c>
      <c r="C56" s="28" t="s">
        <v>29</v>
      </c>
      <c r="D56" s="28" t="s">
        <v>345</v>
      </c>
      <c r="E56" s="68" t="s">
        <v>386</v>
      </c>
      <c r="F56" s="41" t="s">
        <v>170</v>
      </c>
      <c r="G56" s="42" t="s">
        <v>171</v>
      </c>
      <c r="H56" s="64">
        <v>50</v>
      </c>
      <c r="I56" s="40" t="str">
        <f t="shared" si="1"/>
        <v>&lt;250M</v>
      </c>
      <c r="J56" s="39" t="str">
        <f>_xlfn.XLOOKUP(B56,'[1]FY25 Pipeline'!$A:$A,'[1]FY25 Pipeline'!$AF:$AF)</f>
        <v>NN</v>
      </c>
      <c r="K56" s="53"/>
      <c r="L56" s="39"/>
      <c r="M56" s="53"/>
      <c r="N56" s="39"/>
      <c r="O56" s="53"/>
      <c r="P56" s="39"/>
      <c r="Q56" s="64"/>
      <c r="R56" s="64"/>
      <c r="S56" s="64" t="s">
        <v>503</v>
      </c>
      <c r="T56" s="64"/>
      <c r="U56" s="64"/>
      <c r="V56" s="64"/>
      <c r="W56" s="64"/>
      <c r="X56" s="64"/>
      <c r="Y56" s="64"/>
      <c r="Z56" s="42" t="s">
        <v>27</v>
      </c>
      <c r="AA56" s="42"/>
      <c r="AB56" s="42" t="s">
        <v>20</v>
      </c>
      <c r="AC56" s="42">
        <v>0</v>
      </c>
    </row>
    <row r="57" spans="2:29" ht="24" x14ac:dyDescent="0.35">
      <c r="B57" s="28">
        <v>287606</v>
      </c>
      <c r="C57" s="28" t="s">
        <v>25</v>
      </c>
      <c r="D57" s="28" t="s">
        <v>345</v>
      </c>
      <c r="E57" s="68" t="s">
        <v>386</v>
      </c>
      <c r="F57" s="41" t="s">
        <v>187</v>
      </c>
      <c r="G57" s="42" t="s">
        <v>188</v>
      </c>
      <c r="H57" s="64">
        <v>50</v>
      </c>
      <c r="I57" s="40" t="str">
        <f t="shared" si="1"/>
        <v>&lt;250M</v>
      </c>
      <c r="J57" s="39" t="str">
        <f>_xlfn.XLOOKUP(B57,'[1]FY25 Pipeline'!$A:$A,'[1]FY25 Pipeline'!$AF:$AF)</f>
        <v>EN</v>
      </c>
      <c r="K57" s="53"/>
      <c r="L57" s="39"/>
      <c r="M57" s="53"/>
      <c r="N57" s="39"/>
      <c r="O57" s="53"/>
      <c r="P57" s="39"/>
      <c r="Q57" s="64"/>
      <c r="R57" s="64"/>
      <c r="S57" s="64" t="s">
        <v>503</v>
      </c>
      <c r="T57" s="64"/>
      <c r="U57" s="64"/>
      <c r="V57" s="64"/>
      <c r="W57" s="64"/>
      <c r="X57" s="64"/>
      <c r="Y57" s="64"/>
      <c r="Z57" s="42" t="s">
        <v>22</v>
      </c>
      <c r="AA57" s="42" t="s">
        <v>189</v>
      </c>
      <c r="AB57" s="42" t="s">
        <v>190</v>
      </c>
      <c r="AC57" s="42" t="s">
        <v>191</v>
      </c>
    </row>
    <row r="58" spans="2:29" ht="36" x14ac:dyDescent="0.35">
      <c r="B58" s="28">
        <v>287121</v>
      </c>
      <c r="C58" s="28" t="s">
        <v>43</v>
      </c>
      <c r="D58" s="28" t="s">
        <v>345</v>
      </c>
      <c r="E58" s="68" t="s">
        <v>386</v>
      </c>
      <c r="F58" s="41" t="s">
        <v>179</v>
      </c>
      <c r="G58" s="42" t="s">
        <v>180</v>
      </c>
      <c r="H58" s="64">
        <v>38.6</v>
      </c>
      <c r="I58" s="40" t="str">
        <f t="shared" si="1"/>
        <v>&lt;250M</v>
      </c>
      <c r="J58" s="39" t="str">
        <f>_xlfn.XLOOKUP(B58,'[1]FY25 Pipeline'!$A:$A,'[1]FY25 Pipeline'!$AF:$AF)</f>
        <v>EN</v>
      </c>
      <c r="K58" s="53"/>
      <c r="L58" s="39"/>
      <c r="M58" s="53"/>
      <c r="N58" s="39"/>
      <c r="O58" s="53"/>
      <c r="P58" s="39"/>
      <c r="Q58" s="64"/>
      <c r="R58" s="64"/>
      <c r="S58" s="64" t="s">
        <v>465</v>
      </c>
      <c r="T58" s="64"/>
      <c r="U58" s="64"/>
      <c r="V58" s="64"/>
      <c r="W58" s="64"/>
      <c r="X58" s="64"/>
      <c r="Y58" s="64"/>
      <c r="Z58" s="42" t="s">
        <v>27</v>
      </c>
      <c r="AA58" s="42" t="s">
        <v>23</v>
      </c>
      <c r="AB58" s="42" t="s">
        <v>82</v>
      </c>
      <c r="AC58" s="42">
        <v>0</v>
      </c>
    </row>
    <row r="59" spans="2:29" ht="24" x14ac:dyDescent="0.35">
      <c r="B59" s="28">
        <v>287766</v>
      </c>
      <c r="C59" s="28" t="s">
        <v>150</v>
      </c>
      <c r="D59" s="28" t="s">
        <v>345</v>
      </c>
      <c r="E59" s="68" t="s">
        <v>386</v>
      </c>
      <c r="F59" s="41" t="s">
        <v>151</v>
      </c>
      <c r="G59" s="42" t="s">
        <v>152</v>
      </c>
      <c r="H59" s="64">
        <v>34</v>
      </c>
      <c r="I59" s="40" t="str">
        <f t="shared" si="1"/>
        <v>&lt;250M</v>
      </c>
      <c r="J59" s="39" t="str">
        <f>_xlfn.XLOOKUP(B59,'[1]FY25 Pipeline'!$A:$A,'[1]FY25 Pipeline'!$AF:$AF)</f>
        <v>EN</v>
      </c>
      <c r="K59" s="53"/>
      <c r="L59" s="39"/>
      <c r="M59" s="53"/>
      <c r="N59" s="39"/>
      <c r="O59" s="53"/>
      <c r="P59" s="39"/>
      <c r="Q59" s="64"/>
      <c r="R59" s="64"/>
      <c r="S59" s="64" t="s">
        <v>503</v>
      </c>
      <c r="T59" s="64"/>
      <c r="U59" s="64"/>
      <c r="V59" s="64"/>
      <c r="W59" s="64"/>
      <c r="X59" s="64"/>
      <c r="Y59" s="64"/>
      <c r="Z59" s="42" t="s">
        <v>153</v>
      </c>
      <c r="AA59" s="42"/>
      <c r="AB59" s="42" t="s">
        <v>154</v>
      </c>
      <c r="AC59" s="42" t="s">
        <v>155</v>
      </c>
    </row>
    <row r="60" spans="2:29" ht="24" x14ac:dyDescent="0.35">
      <c r="B60" s="28">
        <v>264866</v>
      </c>
      <c r="C60" s="28" t="s">
        <v>29</v>
      </c>
      <c r="D60" s="28" t="s">
        <v>345</v>
      </c>
      <c r="E60" s="68" t="s">
        <v>386</v>
      </c>
      <c r="F60" s="41" t="s">
        <v>172</v>
      </c>
      <c r="G60" s="42" t="s">
        <v>173</v>
      </c>
      <c r="H60" s="64">
        <v>33</v>
      </c>
      <c r="I60" s="40" t="str">
        <f t="shared" si="1"/>
        <v>&lt;250M</v>
      </c>
      <c r="J60" s="39" t="str">
        <f>_xlfn.XLOOKUP(B60,'[1]FY25 Pipeline'!$A:$A,'[1]FY25 Pipeline'!$AF:$AF)</f>
        <v>NN</v>
      </c>
      <c r="K60" s="53"/>
      <c r="L60" s="39"/>
      <c r="M60" s="53"/>
      <c r="N60" s="39"/>
      <c r="O60" s="53"/>
      <c r="P60" s="39"/>
      <c r="Q60" s="64"/>
      <c r="R60" s="64"/>
      <c r="S60" s="64" t="s">
        <v>503</v>
      </c>
      <c r="T60" s="64"/>
      <c r="U60" s="64"/>
      <c r="V60" s="64"/>
      <c r="W60" s="64"/>
      <c r="X60" s="64"/>
      <c r="Y60" s="64"/>
      <c r="Z60" s="42" t="s">
        <v>115</v>
      </c>
      <c r="AA60" s="42"/>
      <c r="AB60" s="42" t="s">
        <v>174</v>
      </c>
      <c r="AC60" s="42" t="s">
        <v>14</v>
      </c>
    </row>
    <row r="61" spans="2:29" ht="24" x14ac:dyDescent="0.35">
      <c r="B61" s="28">
        <v>301060</v>
      </c>
      <c r="C61" s="28" t="s">
        <v>29</v>
      </c>
      <c r="D61" s="28" t="s">
        <v>345</v>
      </c>
      <c r="E61" s="68" t="s">
        <v>386</v>
      </c>
      <c r="F61" s="41" t="s">
        <v>181</v>
      </c>
      <c r="G61" s="42" t="s">
        <v>182</v>
      </c>
      <c r="H61" s="64">
        <v>25</v>
      </c>
      <c r="I61" s="40" t="str">
        <f t="shared" si="1"/>
        <v>&lt;250M</v>
      </c>
      <c r="J61" s="39" t="str">
        <f>_xlfn.XLOOKUP(B61,'[1]FY25 Pipeline'!$A:$A,'[1]FY25 Pipeline'!$AF:$AF)</f>
        <v>EN</v>
      </c>
      <c r="K61" s="53"/>
      <c r="L61" s="39"/>
      <c r="M61" s="53"/>
      <c r="N61" s="39"/>
      <c r="O61" s="53"/>
      <c r="P61" s="39"/>
      <c r="Q61" s="64"/>
      <c r="R61" s="64"/>
      <c r="S61" s="64"/>
      <c r="T61" s="64"/>
      <c r="U61" s="64"/>
      <c r="V61" s="64"/>
      <c r="W61" s="64"/>
      <c r="X61" s="64"/>
      <c r="Y61" s="64"/>
      <c r="Z61" s="42" t="s">
        <v>183</v>
      </c>
      <c r="AA61" s="42" t="s">
        <v>424</v>
      </c>
      <c r="AB61" s="42" t="s">
        <v>185</v>
      </c>
      <c r="AC61" s="42" t="s">
        <v>186</v>
      </c>
    </row>
    <row r="62" spans="2:29" ht="48" x14ac:dyDescent="0.35">
      <c r="B62" s="28">
        <v>275802</v>
      </c>
      <c r="C62" s="28" t="s">
        <v>25</v>
      </c>
      <c r="D62" s="28" t="s">
        <v>345</v>
      </c>
      <c r="E62" s="68" t="s">
        <v>386</v>
      </c>
      <c r="F62" s="41" t="s">
        <v>423</v>
      </c>
      <c r="G62" s="42" t="s">
        <v>197</v>
      </c>
      <c r="H62" s="64">
        <v>23</v>
      </c>
      <c r="I62" s="40" t="str">
        <f t="shared" si="1"/>
        <v>&lt;250M</v>
      </c>
      <c r="J62" s="39" t="str">
        <f>_xlfn.XLOOKUP(B62,'[1]FY25 Pipeline'!$A:$A,'[1]FY25 Pipeline'!$AF:$AF)</f>
        <v>NN</v>
      </c>
      <c r="K62" s="53"/>
      <c r="L62" s="39"/>
      <c r="M62" s="53"/>
      <c r="N62" s="39"/>
      <c r="O62" s="53"/>
      <c r="P62" s="39"/>
      <c r="Q62" s="64"/>
      <c r="R62" s="64"/>
      <c r="S62" s="64" t="s">
        <v>503</v>
      </c>
      <c r="T62" s="64"/>
      <c r="U62" s="64"/>
      <c r="V62" s="64"/>
      <c r="W62" s="64"/>
      <c r="X62" s="64"/>
      <c r="Y62" s="64"/>
      <c r="Z62" s="42" t="s">
        <v>72</v>
      </c>
      <c r="AA62" s="42"/>
      <c r="AB62" s="42" t="s">
        <v>199</v>
      </c>
      <c r="AC62" s="42">
        <v>0</v>
      </c>
    </row>
    <row r="63" spans="2:29" ht="24" x14ac:dyDescent="0.35">
      <c r="B63" s="28">
        <v>293672</v>
      </c>
      <c r="C63" s="28" t="s">
        <v>29</v>
      </c>
      <c r="D63" s="28" t="s">
        <v>345</v>
      </c>
      <c r="E63" s="68" t="s">
        <v>386</v>
      </c>
      <c r="F63" s="41" t="s">
        <v>175</v>
      </c>
      <c r="G63" s="42" t="s">
        <v>176</v>
      </c>
      <c r="H63" s="64">
        <v>10</v>
      </c>
      <c r="I63" s="40" t="str">
        <f t="shared" si="1"/>
        <v>&lt;250M</v>
      </c>
      <c r="J63" s="39" t="str">
        <f>_xlfn.XLOOKUP(B63,'[1]FY25 Pipeline'!$A:$A,'[1]FY25 Pipeline'!$AF:$AF)</f>
        <v>NN</v>
      </c>
      <c r="K63" s="53"/>
      <c r="L63" s="39"/>
      <c r="M63" s="53"/>
      <c r="N63" s="39"/>
      <c r="O63" s="53"/>
      <c r="P63" s="39"/>
      <c r="Q63" s="64"/>
      <c r="R63" s="64"/>
      <c r="S63" s="64"/>
      <c r="T63" s="64"/>
      <c r="U63" s="64"/>
      <c r="V63" s="64"/>
      <c r="W63" s="64"/>
      <c r="X63" s="64"/>
      <c r="Y63" s="64"/>
      <c r="Z63" s="42" t="s">
        <v>27</v>
      </c>
      <c r="AA63" s="42"/>
      <c r="AB63" s="42" t="s">
        <v>177</v>
      </c>
      <c r="AC63" s="42" t="s">
        <v>178</v>
      </c>
    </row>
    <row r="64" spans="2:29" ht="24" x14ac:dyDescent="0.35">
      <c r="B64" s="28">
        <v>298157</v>
      </c>
      <c r="C64" s="28" t="s">
        <v>29</v>
      </c>
      <c r="D64" s="28" t="s">
        <v>345</v>
      </c>
      <c r="E64" s="68" t="s">
        <v>386</v>
      </c>
      <c r="F64" s="41" t="s">
        <v>192</v>
      </c>
      <c r="G64" s="42" t="s">
        <v>193</v>
      </c>
      <c r="H64" s="64">
        <v>10</v>
      </c>
      <c r="I64" s="40" t="str">
        <f t="shared" si="1"/>
        <v>&lt;250M</v>
      </c>
      <c r="J64" s="39" t="str">
        <f>_xlfn.XLOOKUP(B64,'[1]FY25 Pipeline'!$A:$A,'[1]FY25 Pipeline'!$AF:$AF)</f>
        <v>NN</v>
      </c>
      <c r="K64" s="53"/>
      <c r="L64" s="39"/>
      <c r="M64" s="53"/>
      <c r="N64" s="39"/>
      <c r="O64" s="53"/>
      <c r="P64" s="39"/>
      <c r="Q64" s="64"/>
      <c r="R64" s="64"/>
      <c r="S64" s="64"/>
      <c r="T64" s="64"/>
      <c r="U64" s="64"/>
      <c r="V64" s="64"/>
      <c r="W64" s="64"/>
      <c r="X64" s="64"/>
      <c r="Y64" s="64"/>
      <c r="Z64" s="42" t="s">
        <v>194</v>
      </c>
      <c r="AA64" s="42" t="s">
        <v>195</v>
      </c>
      <c r="AB64" s="42" t="s">
        <v>174</v>
      </c>
      <c r="AC64" s="42" t="s">
        <v>119</v>
      </c>
    </row>
    <row r="65" spans="2:29" ht="24" x14ac:dyDescent="0.35">
      <c r="B65" s="28">
        <v>275069</v>
      </c>
      <c r="C65" s="28" t="s">
        <v>43</v>
      </c>
      <c r="D65" s="28" t="s">
        <v>345</v>
      </c>
      <c r="E65" s="68" t="s">
        <v>386</v>
      </c>
      <c r="F65" s="41" t="s">
        <v>164</v>
      </c>
      <c r="G65" s="42" t="s">
        <v>165</v>
      </c>
      <c r="H65" s="64">
        <v>5</v>
      </c>
      <c r="I65" s="40" t="str">
        <f t="shared" si="1"/>
        <v>&lt;250M</v>
      </c>
      <c r="J65" s="39" t="str">
        <f>_xlfn.XLOOKUP(B65,'[1]FY25 Pipeline'!$A:$A,'[1]FY25 Pipeline'!$AF:$AF)</f>
        <v>EN</v>
      </c>
      <c r="K65" s="53"/>
      <c r="L65" s="39"/>
      <c r="M65" s="53"/>
      <c r="N65" s="39"/>
      <c r="O65" s="53"/>
      <c r="P65" s="39"/>
      <c r="Q65" s="64"/>
      <c r="R65" s="64"/>
      <c r="S65" s="64"/>
      <c r="T65" s="64"/>
      <c r="U65" s="64"/>
      <c r="V65" s="64"/>
      <c r="W65" s="64"/>
      <c r="X65" s="64"/>
      <c r="Y65" s="64"/>
      <c r="Z65" s="42" t="s">
        <v>22</v>
      </c>
      <c r="AA65" s="42" t="s">
        <v>166</v>
      </c>
      <c r="AB65" s="42" t="s">
        <v>168</v>
      </c>
      <c r="AC65" s="42" t="s">
        <v>169</v>
      </c>
    </row>
    <row r="66" spans="2:29" ht="48" x14ac:dyDescent="0.35">
      <c r="B66" s="28">
        <v>269872</v>
      </c>
      <c r="C66" s="28" t="s">
        <v>150</v>
      </c>
      <c r="D66" s="28" t="s">
        <v>346</v>
      </c>
      <c r="E66" s="68" t="s">
        <v>386</v>
      </c>
      <c r="F66" s="41" t="s">
        <v>425</v>
      </c>
      <c r="G66" s="42" t="s">
        <v>426</v>
      </c>
      <c r="H66" s="64">
        <v>100</v>
      </c>
      <c r="I66" s="40" t="str">
        <f t="shared" si="1"/>
        <v>&lt;250M</v>
      </c>
      <c r="J66" s="39" t="str">
        <f>_xlfn.XLOOKUP(B66,'[1]FY25 Pipeline'!$A:$A,'[1]FY25 Pipeline'!$AF:$AF)</f>
        <v>EN</v>
      </c>
      <c r="K66" s="53"/>
      <c r="L66" s="39"/>
      <c r="M66" s="53"/>
      <c r="N66" s="39"/>
      <c r="O66" s="53"/>
      <c r="P66" s="39"/>
      <c r="Q66" s="64"/>
      <c r="R66" s="64"/>
      <c r="S66" s="64" t="s">
        <v>503</v>
      </c>
      <c r="T66" s="64"/>
      <c r="U66" s="64"/>
      <c r="V66" s="64"/>
      <c r="W66" s="64"/>
      <c r="X66" s="64"/>
      <c r="Y66" s="64"/>
      <c r="Z66" s="42" t="s">
        <v>153</v>
      </c>
      <c r="AA66" s="42"/>
      <c r="AB66" s="42" t="s">
        <v>429</v>
      </c>
      <c r="AC66" s="42" t="s">
        <v>155</v>
      </c>
    </row>
    <row r="67" spans="2:29" ht="24" x14ac:dyDescent="0.35">
      <c r="B67" s="28">
        <v>313128</v>
      </c>
      <c r="C67" s="28" t="s">
        <v>12</v>
      </c>
      <c r="D67" s="28" t="s">
        <v>346</v>
      </c>
      <c r="E67" s="68" t="s">
        <v>386</v>
      </c>
      <c r="F67" s="41" t="s">
        <v>387</v>
      </c>
      <c r="G67" s="42" t="s">
        <v>427</v>
      </c>
      <c r="H67" s="64">
        <v>75</v>
      </c>
      <c r="I67" s="40" t="str">
        <f t="shared" ref="I67:I70" si="2">IF(H67&lt;250, "&lt;250M", "&gt;=250M")</f>
        <v>&lt;250M</v>
      </c>
      <c r="J67" s="39" t="str">
        <f>_xlfn.XLOOKUP(B67,'[1]FY25 Pipeline'!$A:$A,'[1]FY25 Pipeline'!$AF:$AF)</f>
        <v>EN</v>
      </c>
      <c r="K67" s="53"/>
      <c r="L67" s="39"/>
      <c r="M67" s="53"/>
      <c r="N67" s="39"/>
      <c r="O67" s="53"/>
      <c r="P67" s="39"/>
      <c r="Q67" s="64"/>
      <c r="R67" s="64"/>
      <c r="S67" s="64" t="s">
        <v>465</v>
      </c>
      <c r="T67" s="64"/>
      <c r="U67" s="64"/>
      <c r="V67" s="64"/>
      <c r="W67" s="64"/>
      <c r="X67" s="64"/>
      <c r="Y67" s="64"/>
      <c r="Z67" s="42"/>
      <c r="AA67" s="42"/>
      <c r="AB67" s="42" t="s">
        <v>430</v>
      </c>
      <c r="AC67" s="42" t="s">
        <v>431</v>
      </c>
    </row>
    <row r="68" spans="2:29" ht="48" x14ac:dyDescent="0.35">
      <c r="B68" s="28">
        <v>176533</v>
      </c>
      <c r="C68" s="28" t="s">
        <v>25</v>
      </c>
      <c r="D68" s="28" t="s">
        <v>346</v>
      </c>
      <c r="E68" s="68" t="s">
        <v>386</v>
      </c>
      <c r="F68" s="41" t="s">
        <v>220</v>
      </c>
      <c r="G68" s="42" t="s">
        <v>221</v>
      </c>
      <c r="H68" s="64">
        <v>50</v>
      </c>
      <c r="I68" s="40" t="str">
        <f t="shared" si="2"/>
        <v>&lt;250M</v>
      </c>
      <c r="J68" s="39" t="str">
        <f>_xlfn.XLOOKUP(B68,'[1]FY25 Pipeline'!$A:$A,'[1]FY25 Pipeline'!$AF:$AF)</f>
        <v>EN</v>
      </c>
      <c r="K68" s="53"/>
      <c r="L68" s="39"/>
      <c r="M68" s="53"/>
      <c r="N68" s="39"/>
      <c r="O68" s="53"/>
      <c r="P68" s="39"/>
      <c r="Q68" s="64"/>
      <c r="R68" s="64"/>
      <c r="S68" s="64" t="s">
        <v>503</v>
      </c>
      <c r="T68" s="64"/>
      <c r="U68" s="64"/>
      <c r="V68" s="64"/>
      <c r="W68" s="64"/>
      <c r="X68" s="64"/>
      <c r="Y68" s="64"/>
      <c r="Z68" s="42"/>
      <c r="AA68" s="42"/>
      <c r="AB68" s="42" t="s">
        <v>223</v>
      </c>
      <c r="AC68" s="42" t="s">
        <v>224</v>
      </c>
    </row>
    <row r="69" spans="2:29" ht="48" x14ac:dyDescent="0.35">
      <c r="B69" s="28">
        <v>270798</v>
      </c>
      <c r="C69" s="28" t="s">
        <v>25</v>
      </c>
      <c r="D69" s="28" t="s">
        <v>346</v>
      </c>
      <c r="E69" s="68" t="s">
        <v>386</v>
      </c>
      <c r="F69" s="41" t="s">
        <v>428</v>
      </c>
      <c r="G69" s="42" t="s">
        <v>255</v>
      </c>
      <c r="H69" s="64">
        <v>16.260300000000001</v>
      </c>
      <c r="I69" s="40" t="str">
        <f t="shared" si="2"/>
        <v>&lt;250M</v>
      </c>
      <c r="J69" s="39" t="str">
        <f>_xlfn.XLOOKUP(B69,'[1]FY25 Pipeline'!$A:$A,'[1]FY25 Pipeline'!$AF:$AF)</f>
        <v>NN</v>
      </c>
      <c r="K69" s="53"/>
      <c r="L69" s="39"/>
      <c r="M69" s="53"/>
      <c r="N69" s="39"/>
      <c r="O69" s="53"/>
      <c r="P69" s="39"/>
      <c r="Q69" s="64"/>
      <c r="R69" s="64"/>
      <c r="S69" s="64" t="s">
        <v>503</v>
      </c>
      <c r="T69" s="64"/>
      <c r="U69" s="64"/>
      <c r="V69" s="64"/>
      <c r="W69" s="64"/>
      <c r="X69" s="64"/>
      <c r="Y69" s="64"/>
      <c r="Z69" s="42" t="s">
        <v>72</v>
      </c>
      <c r="AA69" s="42" t="s">
        <v>256</v>
      </c>
      <c r="AB69" s="42" t="s">
        <v>199</v>
      </c>
      <c r="AC69" s="42">
        <v>0</v>
      </c>
    </row>
    <row r="70" spans="2:29" ht="36" x14ac:dyDescent="0.35">
      <c r="B70" s="28">
        <v>294068</v>
      </c>
      <c r="C70" s="28" t="s">
        <v>150</v>
      </c>
      <c r="D70" s="28" t="s">
        <v>346</v>
      </c>
      <c r="E70" s="68" t="s">
        <v>386</v>
      </c>
      <c r="F70" s="41" t="s">
        <v>202</v>
      </c>
      <c r="G70" s="42" t="s">
        <v>203</v>
      </c>
      <c r="H70" s="64">
        <v>15</v>
      </c>
      <c r="I70" s="40" t="str">
        <f t="shared" si="2"/>
        <v>&lt;250M</v>
      </c>
      <c r="J70" s="39" t="str">
        <f>_xlfn.XLOOKUP(B70,'[1]FY25 Pipeline'!$A:$A,'[1]FY25 Pipeline'!$AF:$AF)</f>
        <v>EN</v>
      </c>
      <c r="K70" s="53"/>
      <c r="L70" s="39"/>
      <c r="M70" s="53"/>
      <c r="N70" s="39"/>
      <c r="O70" s="53"/>
      <c r="P70" s="39"/>
      <c r="Q70" s="64"/>
      <c r="R70" s="64"/>
      <c r="S70" s="64" t="s">
        <v>465</v>
      </c>
      <c r="T70" s="64"/>
      <c r="U70" s="64"/>
      <c r="V70" s="64"/>
      <c r="W70" s="64"/>
      <c r="X70" s="64"/>
      <c r="Y70" s="64"/>
      <c r="Z70" s="42" t="s">
        <v>153</v>
      </c>
      <c r="AA70" s="42" t="s">
        <v>204</v>
      </c>
      <c r="AB70" s="42" t="s">
        <v>205</v>
      </c>
      <c r="AC70" s="42" t="s">
        <v>206</v>
      </c>
    </row>
  </sheetData>
  <mergeCells count="5">
    <mergeCell ref="Z1:AC1"/>
    <mergeCell ref="R1:X1"/>
    <mergeCell ref="Y1:Y2"/>
    <mergeCell ref="Q1:Q2"/>
    <mergeCell ref="K1:P1"/>
  </mergeCells>
  <phoneticPr fontId="9" type="noConversion"/>
  <dataValidations count="1">
    <dataValidation type="list" allowBlank="1" showInputMessage="1" showErrorMessage="1" sqref="L3:L70 N3:N70 P3:P70" xr:uid="{AB54EB26-AB45-4AB0-A111-600F81135D4D}">
      <formula1>INDIRECT(K3)</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EDF7E082-AA60-4C57-B77D-9FDC0A65AFD1}">
          <x14:formula1>
            <xm:f>'List of win-loss factors'!$A$2:$E$2</xm:f>
          </x14:formula1>
          <xm:sqref>K3:K70 M3:M70 O3:O70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3D11B-B00A-4CF5-9E08-97E574F8A34C}">
  <sheetPr codeName="Sheet2"/>
  <dimension ref="A1:Y55"/>
  <sheetViews>
    <sheetView showGridLines="0" topLeftCell="A20" zoomScale="110" zoomScaleNormal="110" workbookViewId="0">
      <selection activeCell="E14" sqref="E14"/>
    </sheetView>
  </sheetViews>
  <sheetFormatPr defaultRowHeight="14.5" outlineLevelCol="1" x14ac:dyDescent="0.35"/>
  <cols>
    <col min="2" max="2" width="3.7265625" customWidth="1"/>
    <col min="3" max="3" width="9.453125" customWidth="1"/>
    <col min="4" max="4" width="7.54296875" customWidth="1"/>
    <col min="5" max="5" width="29.453125" customWidth="1"/>
    <col min="6" max="6" width="23.54296875" customWidth="1"/>
    <col min="7" max="7" width="10.54296875" customWidth="1"/>
    <col min="8" max="15" width="13.26953125" hidden="1" customWidth="1" outlineLevel="1"/>
    <col min="16" max="16" width="9.1796875" collapsed="1"/>
    <col min="19" max="19" width="10.453125" hidden="1" customWidth="1"/>
    <col min="20" max="20" width="11.54296875" hidden="1" customWidth="1"/>
    <col min="21" max="25" width="0" hidden="1" customWidth="1"/>
  </cols>
  <sheetData>
    <row r="1" spans="1:25" ht="24" x14ac:dyDescent="0.35">
      <c r="C1" s="10" t="s">
        <v>3</v>
      </c>
      <c r="D1" s="10" t="s">
        <v>4</v>
      </c>
      <c r="E1" s="10" t="s">
        <v>50</v>
      </c>
      <c r="F1" s="10" t="s">
        <v>51</v>
      </c>
      <c r="G1" s="10" t="s">
        <v>52</v>
      </c>
      <c r="H1" s="10" t="s">
        <v>53</v>
      </c>
      <c r="I1" s="10" t="s">
        <v>54</v>
      </c>
      <c r="J1" s="10" t="s">
        <v>55</v>
      </c>
      <c r="K1" s="10" t="s">
        <v>56</v>
      </c>
      <c r="L1" s="10" t="s">
        <v>57</v>
      </c>
      <c r="M1" s="10" t="s">
        <v>58</v>
      </c>
      <c r="N1" s="10" t="s">
        <v>59</v>
      </c>
      <c r="O1" s="10" t="s">
        <v>60</v>
      </c>
      <c r="P1" s="10" t="s">
        <v>61</v>
      </c>
      <c r="Q1" s="10" t="s">
        <v>62</v>
      </c>
    </row>
    <row r="2" spans="1:25" ht="31.5" x14ac:dyDescent="0.35">
      <c r="A2" s="76" t="s">
        <v>63</v>
      </c>
      <c r="B2" s="4">
        <v>1</v>
      </c>
      <c r="C2" s="4">
        <v>271505</v>
      </c>
      <c r="D2" s="5" t="s">
        <v>43</v>
      </c>
      <c r="E2" s="6" t="s">
        <v>64</v>
      </c>
      <c r="F2" s="4" t="s">
        <v>65</v>
      </c>
      <c r="G2" s="11">
        <v>67</v>
      </c>
      <c r="H2" s="4" t="s">
        <v>22</v>
      </c>
      <c r="I2" s="4"/>
      <c r="J2" s="4" t="s">
        <v>23</v>
      </c>
      <c r="K2" s="4"/>
      <c r="L2" s="4"/>
      <c r="M2" s="4"/>
      <c r="N2" s="4" t="s">
        <v>66</v>
      </c>
      <c r="O2" s="4"/>
      <c r="P2" s="4" t="s">
        <v>67</v>
      </c>
      <c r="Q2" s="4">
        <v>57.340200000000003</v>
      </c>
      <c r="S2" s="5"/>
      <c r="T2" s="5" t="s">
        <v>68</v>
      </c>
      <c r="U2" s="5" t="s">
        <v>69</v>
      </c>
    </row>
    <row r="3" spans="1:25" ht="21" x14ac:dyDescent="0.35">
      <c r="A3" s="76"/>
      <c r="B3" s="4">
        <v>2</v>
      </c>
      <c r="C3" s="4">
        <v>314023</v>
      </c>
      <c r="D3" s="5" t="s">
        <v>25</v>
      </c>
      <c r="E3" s="6" t="s">
        <v>70</v>
      </c>
      <c r="F3" s="4" t="s">
        <v>71</v>
      </c>
      <c r="G3" s="12">
        <v>53</v>
      </c>
      <c r="H3" s="4" t="s">
        <v>72</v>
      </c>
      <c r="I3" s="13" t="s">
        <v>73</v>
      </c>
      <c r="J3" s="13"/>
      <c r="K3" s="13"/>
      <c r="L3" s="4" t="s">
        <v>74</v>
      </c>
      <c r="M3" s="4" t="s">
        <v>75</v>
      </c>
      <c r="N3" s="13" t="s">
        <v>76</v>
      </c>
      <c r="O3" s="4" t="s">
        <v>77</v>
      </c>
      <c r="P3" s="4" t="s">
        <v>78</v>
      </c>
      <c r="Q3" s="4">
        <v>47.475000000000001</v>
      </c>
      <c r="S3" s="10" t="s">
        <v>79</v>
      </c>
      <c r="T3" s="5">
        <f>G8</f>
        <v>233.6</v>
      </c>
      <c r="U3" s="4">
        <v>6</v>
      </c>
    </row>
    <row r="4" spans="1:25" ht="21" x14ac:dyDescent="0.35">
      <c r="A4" s="76"/>
      <c r="B4" s="4">
        <v>3</v>
      </c>
      <c r="C4" s="4">
        <v>274038</v>
      </c>
      <c r="D4" s="5" t="s">
        <v>43</v>
      </c>
      <c r="E4" s="6" t="s">
        <v>80</v>
      </c>
      <c r="F4" s="4" t="s">
        <v>81</v>
      </c>
      <c r="G4" s="11">
        <v>50</v>
      </c>
      <c r="H4" s="4" t="s">
        <v>27</v>
      </c>
      <c r="I4" s="4"/>
      <c r="J4" s="4" t="s">
        <v>23</v>
      </c>
      <c r="K4" s="4"/>
      <c r="L4" s="4" t="s">
        <v>9</v>
      </c>
      <c r="M4" s="4"/>
      <c r="N4" s="4" t="s">
        <v>82</v>
      </c>
      <c r="O4" s="4"/>
      <c r="P4" s="4" t="s">
        <v>78</v>
      </c>
      <c r="Q4" s="4">
        <v>50</v>
      </c>
      <c r="S4" s="14" t="s">
        <v>83</v>
      </c>
      <c r="T4" s="5">
        <f>G21</f>
        <v>430.42</v>
      </c>
      <c r="U4" s="4">
        <v>10</v>
      </c>
      <c r="X4" t="s">
        <v>43</v>
      </c>
      <c r="Y4">
        <v>117</v>
      </c>
    </row>
    <row r="5" spans="1:25" ht="21" x14ac:dyDescent="0.35">
      <c r="A5" s="76"/>
      <c r="B5" s="4">
        <v>4</v>
      </c>
      <c r="C5" s="4">
        <v>300149</v>
      </c>
      <c r="D5" s="5" t="s">
        <v>25</v>
      </c>
      <c r="E5" s="6" t="s">
        <v>84</v>
      </c>
      <c r="F5" s="4" t="s">
        <v>85</v>
      </c>
      <c r="G5" s="7">
        <v>34.6</v>
      </c>
      <c r="H5" s="4" t="s">
        <v>72</v>
      </c>
      <c r="I5" s="4"/>
      <c r="J5" s="4"/>
      <c r="K5" s="4"/>
      <c r="L5" s="4"/>
      <c r="M5" s="4"/>
      <c r="N5" s="4" t="s">
        <v>86</v>
      </c>
      <c r="O5" s="4" t="s">
        <v>87</v>
      </c>
      <c r="P5" s="4" t="s">
        <v>78</v>
      </c>
      <c r="Q5" s="4">
        <v>30</v>
      </c>
      <c r="S5" s="5" t="s">
        <v>88</v>
      </c>
      <c r="T5" s="5">
        <f>SUM(T3:T4)</f>
        <v>664.02</v>
      </c>
      <c r="U5" s="4">
        <f>SUM(U3:U4)</f>
        <v>16</v>
      </c>
      <c r="X5" t="s">
        <v>25</v>
      </c>
      <c r="Y5">
        <v>87.6</v>
      </c>
    </row>
    <row r="6" spans="1:25" ht="21" x14ac:dyDescent="0.35">
      <c r="A6" s="76"/>
      <c r="B6" s="4">
        <v>5</v>
      </c>
      <c r="C6" s="4">
        <v>287391</v>
      </c>
      <c r="D6" s="5" t="s">
        <v>29</v>
      </c>
      <c r="E6" s="6" t="s">
        <v>89</v>
      </c>
      <c r="F6" s="4" t="s">
        <v>90</v>
      </c>
      <c r="G6" s="11">
        <v>24</v>
      </c>
      <c r="H6" s="4" t="s">
        <v>27</v>
      </c>
      <c r="I6" s="4" t="s">
        <v>91</v>
      </c>
      <c r="J6" s="4"/>
      <c r="K6" s="4"/>
      <c r="L6" s="4" t="s">
        <v>92</v>
      </c>
      <c r="M6" s="4" t="s">
        <v>93</v>
      </c>
      <c r="N6" s="4" t="s">
        <v>94</v>
      </c>
      <c r="O6" s="4" t="s">
        <v>15</v>
      </c>
      <c r="P6" s="4" t="s">
        <v>67</v>
      </c>
      <c r="Q6" s="4">
        <v>21.71</v>
      </c>
      <c r="S6" s="6" t="s">
        <v>95</v>
      </c>
      <c r="T6" s="15">
        <f>T3/T5</f>
        <v>0.35179663263154726</v>
      </c>
      <c r="U6" s="16">
        <f>U3/U5</f>
        <v>0.375</v>
      </c>
      <c r="X6" t="s">
        <v>96</v>
      </c>
      <c r="Y6">
        <v>29</v>
      </c>
    </row>
    <row r="7" spans="1:25" x14ac:dyDescent="0.35">
      <c r="A7" s="76"/>
      <c r="B7" s="4">
        <v>6</v>
      </c>
      <c r="C7" s="4" t="s">
        <v>97</v>
      </c>
      <c r="D7" s="5" t="s">
        <v>29</v>
      </c>
      <c r="E7" s="6" t="s">
        <v>98</v>
      </c>
      <c r="F7" s="4" t="s">
        <v>99</v>
      </c>
      <c r="G7" s="11">
        <v>5</v>
      </c>
      <c r="H7" s="4" t="s">
        <v>27</v>
      </c>
      <c r="I7" s="4" t="s">
        <v>100</v>
      </c>
      <c r="J7" s="4"/>
      <c r="K7" s="4"/>
      <c r="L7" s="4" t="s">
        <v>11</v>
      </c>
      <c r="M7" s="4"/>
      <c r="N7" s="4" t="s">
        <v>101</v>
      </c>
      <c r="O7" s="4" t="s">
        <v>102</v>
      </c>
      <c r="P7" s="4" t="s">
        <v>78</v>
      </c>
      <c r="Q7" s="4">
        <v>5</v>
      </c>
    </row>
    <row r="8" spans="1:25" ht="16" thickBot="1" x14ac:dyDescent="0.4">
      <c r="G8" s="17">
        <f>SUM(G2:G7)</f>
        <v>233.6</v>
      </c>
      <c r="Q8" s="18">
        <f>SUM(Q2:Q7)</f>
        <v>211.52520000000001</v>
      </c>
    </row>
    <row r="9" spans="1:25" ht="15" thickTop="1" x14ac:dyDescent="0.35">
      <c r="S9" s="19" t="s">
        <v>103</v>
      </c>
      <c r="T9" s="20">
        <f>G37</f>
        <v>601.1</v>
      </c>
      <c r="U9" s="4">
        <v>13</v>
      </c>
    </row>
    <row r="10" spans="1:25" ht="24" x14ac:dyDescent="0.35">
      <c r="C10" s="14" t="s">
        <v>3</v>
      </c>
      <c r="D10" s="14" t="s">
        <v>4</v>
      </c>
      <c r="E10" s="14" t="s">
        <v>50</v>
      </c>
      <c r="F10" s="14" t="s">
        <v>51</v>
      </c>
      <c r="G10" s="14" t="s">
        <v>52</v>
      </c>
      <c r="H10" s="14" t="s">
        <v>53</v>
      </c>
      <c r="I10" s="14" t="s">
        <v>54</v>
      </c>
      <c r="J10" s="14" t="s">
        <v>55</v>
      </c>
      <c r="K10" s="14" t="s">
        <v>56</v>
      </c>
      <c r="L10" s="14" t="s">
        <v>57</v>
      </c>
      <c r="M10" s="14" t="s">
        <v>58</v>
      </c>
      <c r="N10" s="14" t="s">
        <v>59</v>
      </c>
      <c r="O10" s="14" t="s">
        <v>60</v>
      </c>
      <c r="P10" s="14" t="s">
        <v>61</v>
      </c>
      <c r="Q10" s="14" t="s">
        <v>62</v>
      </c>
      <c r="S10" s="21" t="s">
        <v>104</v>
      </c>
      <c r="T10" s="20">
        <f>G54</f>
        <v>673.7165</v>
      </c>
      <c r="U10" s="4">
        <v>13</v>
      </c>
    </row>
    <row r="11" spans="1:25" ht="30" customHeight="1" x14ac:dyDescent="0.35">
      <c r="A11" s="77" t="s">
        <v>105</v>
      </c>
      <c r="B11" s="4">
        <v>1</v>
      </c>
      <c r="C11" s="4">
        <v>270937</v>
      </c>
      <c r="D11" s="5" t="s">
        <v>29</v>
      </c>
      <c r="E11" s="6" t="s">
        <v>30</v>
      </c>
      <c r="F11" s="4" t="s">
        <v>31</v>
      </c>
      <c r="G11" s="7">
        <v>25</v>
      </c>
      <c r="H11" s="4" t="s">
        <v>27</v>
      </c>
      <c r="I11" s="4" t="s">
        <v>100</v>
      </c>
      <c r="J11" s="4" t="s">
        <v>106</v>
      </c>
      <c r="K11" s="4"/>
      <c r="L11" s="4" t="s">
        <v>17</v>
      </c>
      <c r="M11" s="4"/>
      <c r="N11" s="4" t="s">
        <v>107</v>
      </c>
      <c r="O11" s="4" t="s">
        <v>21</v>
      </c>
      <c r="P11" s="4" t="s">
        <v>108</v>
      </c>
      <c r="Q11" s="4">
        <v>50</v>
      </c>
    </row>
    <row r="12" spans="1:25" ht="30" customHeight="1" x14ac:dyDescent="0.35">
      <c r="A12" s="78"/>
      <c r="B12" s="4">
        <v>2</v>
      </c>
      <c r="C12" s="4">
        <v>314869</v>
      </c>
      <c r="D12" s="5" t="s">
        <v>29</v>
      </c>
      <c r="E12" s="6" t="s">
        <v>32</v>
      </c>
      <c r="F12" s="4"/>
      <c r="G12" s="7">
        <v>13</v>
      </c>
      <c r="H12" s="4" t="s">
        <v>109</v>
      </c>
      <c r="I12" s="4"/>
      <c r="J12" s="4" t="s">
        <v>110</v>
      </c>
      <c r="K12" s="4"/>
      <c r="L12" s="4" t="s">
        <v>111</v>
      </c>
      <c r="M12" s="4"/>
      <c r="N12" s="4" t="s">
        <v>112</v>
      </c>
      <c r="O12" s="4" t="s">
        <v>113</v>
      </c>
      <c r="P12" s="4" t="s">
        <v>114</v>
      </c>
      <c r="Q12" s="4">
        <v>108</v>
      </c>
    </row>
    <row r="13" spans="1:25" ht="30" customHeight="1" x14ac:dyDescent="0.35">
      <c r="A13" s="78"/>
      <c r="B13" s="4">
        <v>3</v>
      </c>
      <c r="C13" s="4">
        <v>293836</v>
      </c>
      <c r="D13" s="5" t="s">
        <v>29</v>
      </c>
      <c r="E13" s="6" t="s">
        <v>33</v>
      </c>
      <c r="F13" s="4" t="s">
        <v>34</v>
      </c>
      <c r="G13" s="7">
        <v>70</v>
      </c>
      <c r="H13" s="4" t="s">
        <v>115</v>
      </c>
      <c r="I13" s="4"/>
      <c r="J13" s="4" t="s">
        <v>116</v>
      </c>
      <c r="K13" s="4"/>
      <c r="L13" s="4" t="s">
        <v>92</v>
      </c>
      <c r="M13" s="4" t="s">
        <v>117</v>
      </c>
      <c r="N13" s="4" t="s">
        <v>118</v>
      </c>
      <c r="O13" s="4" t="s">
        <v>119</v>
      </c>
      <c r="P13" s="4" t="s">
        <v>114</v>
      </c>
      <c r="Q13" s="4">
        <v>100</v>
      </c>
      <c r="S13" s="5" t="s">
        <v>120</v>
      </c>
      <c r="T13" s="20">
        <f>T3+T4+T9</f>
        <v>1265.1199999999999</v>
      </c>
    </row>
    <row r="14" spans="1:25" ht="30" customHeight="1" x14ac:dyDescent="0.35">
      <c r="A14" s="78"/>
      <c r="B14" s="4">
        <v>4</v>
      </c>
      <c r="C14" s="4">
        <v>250032</v>
      </c>
      <c r="D14" s="5" t="s">
        <v>12</v>
      </c>
      <c r="E14" s="6" t="s">
        <v>35</v>
      </c>
      <c r="F14" s="4" t="s">
        <v>36</v>
      </c>
      <c r="G14" s="7">
        <v>42</v>
      </c>
      <c r="H14" s="4" t="s">
        <v>13</v>
      </c>
      <c r="I14" s="4" t="s">
        <v>121</v>
      </c>
      <c r="J14" s="4"/>
      <c r="K14" s="4" t="s">
        <v>122</v>
      </c>
      <c r="L14" s="4" t="s">
        <v>24</v>
      </c>
      <c r="M14" s="4" t="s">
        <v>123</v>
      </c>
      <c r="N14" s="4" t="s">
        <v>124</v>
      </c>
      <c r="O14" s="4" t="s">
        <v>125</v>
      </c>
      <c r="P14" s="4" t="s">
        <v>114</v>
      </c>
      <c r="Q14" s="4">
        <v>80</v>
      </c>
      <c r="S14" s="5" t="s">
        <v>126</v>
      </c>
      <c r="T14" s="22">
        <f>T3/T13</f>
        <v>0.18464651574554194</v>
      </c>
    </row>
    <row r="15" spans="1:25" ht="30" customHeight="1" x14ac:dyDescent="0.35">
      <c r="A15" s="78"/>
      <c r="B15" s="4">
        <v>5</v>
      </c>
      <c r="C15" s="4">
        <v>301990</v>
      </c>
      <c r="D15" s="5" t="s">
        <v>29</v>
      </c>
      <c r="E15" s="6" t="s">
        <v>37</v>
      </c>
      <c r="F15" s="4" t="s">
        <v>38</v>
      </c>
      <c r="G15" s="7">
        <v>45</v>
      </c>
      <c r="H15" s="4" t="s">
        <v>127</v>
      </c>
      <c r="I15" s="4"/>
      <c r="J15" s="4" t="s">
        <v>128</v>
      </c>
      <c r="K15" s="4"/>
      <c r="L15" s="4" t="s">
        <v>26</v>
      </c>
      <c r="M15" s="4"/>
      <c r="N15" s="4" t="s">
        <v>129</v>
      </c>
      <c r="O15" s="4" t="s">
        <v>130</v>
      </c>
      <c r="P15" s="4" t="s">
        <v>131</v>
      </c>
      <c r="Q15" s="4">
        <v>61.086500000000001</v>
      </c>
    </row>
    <row r="16" spans="1:25" ht="30" customHeight="1" x14ac:dyDescent="0.35">
      <c r="A16" s="78"/>
      <c r="B16" s="4">
        <v>6</v>
      </c>
      <c r="C16" s="4">
        <v>292878</v>
      </c>
      <c r="D16" s="5" t="s">
        <v>29</v>
      </c>
      <c r="E16" s="6" t="s">
        <v>39</v>
      </c>
      <c r="F16" s="4" t="s">
        <v>40</v>
      </c>
      <c r="G16" s="7">
        <v>35.130000000000003</v>
      </c>
      <c r="H16" s="4" t="s">
        <v>132</v>
      </c>
      <c r="I16" s="4" t="s">
        <v>73</v>
      </c>
      <c r="J16" s="4"/>
      <c r="K16" s="4"/>
      <c r="L16" s="4" t="s">
        <v>26</v>
      </c>
      <c r="M16" s="4"/>
      <c r="N16" s="4" t="s">
        <v>133</v>
      </c>
      <c r="O16" s="4" t="s">
        <v>102</v>
      </c>
      <c r="P16" s="4" t="s">
        <v>108</v>
      </c>
      <c r="Q16" s="4">
        <v>62.693899999999999</v>
      </c>
    </row>
    <row r="17" spans="1:17" ht="30" customHeight="1" x14ac:dyDescent="0.35">
      <c r="A17" s="78"/>
      <c r="B17" s="4">
        <v>7</v>
      </c>
      <c r="C17" s="8">
        <v>298012</v>
      </c>
      <c r="D17" s="5" t="s">
        <v>12</v>
      </c>
      <c r="E17" s="6" t="s">
        <v>41</v>
      </c>
      <c r="F17" s="4" t="s">
        <v>42</v>
      </c>
      <c r="G17" s="7">
        <v>70.290000000000006</v>
      </c>
      <c r="H17" s="4" t="s">
        <v>13</v>
      </c>
      <c r="I17" s="4" t="s">
        <v>134</v>
      </c>
      <c r="J17" s="4"/>
      <c r="K17" s="4"/>
      <c r="L17" s="4" t="s">
        <v>135</v>
      </c>
      <c r="M17" s="4"/>
      <c r="N17" s="4" t="s">
        <v>136</v>
      </c>
      <c r="O17" s="4" t="s">
        <v>137</v>
      </c>
      <c r="P17" s="4" t="s">
        <v>131</v>
      </c>
      <c r="Q17" s="4">
        <v>70.290000000000006</v>
      </c>
    </row>
    <row r="18" spans="1:17" ht="30" customHeight="1" x14ac:dyDescent="0.35">
      <c r="A18" s="78"/>
      <c r="B18" s="4">
        <v>8</v>
      </c>
      <c r="C18" s="4">
        <v>255430</v>
      </c>
      <c r="D18" s="5" t="s">
        <v>43</v>
      </c>
      <c r="E18" s="6" t="s">
        <v>44</v>
      </c>
      <c r="F18" s="4" t="s">
        <v>45</v>
      </c>
      <c r="G18" s="7">
        <v>80</v>
      </c>
      <c r="H18" s="4" t="s">
        <v>115</v>
      </c>
      <c r="I18" s="4"/>
      <c r="J18" s="4" t="s">
        <v>23</v>
      </c>
      <c r="K18" s="4"/>
      <c r="L18" s="4" t="s">
        <v>26</v>
      </c>
      <c r="M18" s="4"/>
      <c r="N18" s="4" t="s">
        <v>138</v>
      </c>
      <c r="O18" s="4" t="s">
        <v>28</v>
      </c>
      <c r="P18" s="4" t="s">
        <v>139</v>
      </c>
      <c r="Q18" s="4">
        <v>80</v>
      </c>
    </row>
    <row r="19" spans="1:17" ht="30" customHeight="1" x14ac:dyDescent="0.35">
      <c r="A19" s="78"/>
      <c r="B19" s="4">
        <v>9</v>
      </c>
      <c r="C19" s="4">
        <v>292512</v>
      </c>
      <c r="D19" s="5" t="s">
        <v>43</v>
      </c>
      <c r="E19" s="6" t="s">
        <v>46</v>
      </c>
      <c r="F19" s="4" t="s">
        <v>47</v>
      </c>
      <c r="G19" s="7">
        <v>25</v>
      </c>
      <c r="H19" s="4" t="s">
        <v>22</v>
      </c>
      <c r="I19" s="4"/>
      <c r="J19" s="4" t="s">
        <v>23</v>
      </c>
      <c r="K19" s="4"/>
      <c r="L19" s="4" t="s">
        <v>26</v>
      </c>
      <c r="M19" s="4"/>
      <c r="N19" s="4" t="s">
        <v>140</v>
      </c>
      <c r="O19" s="4" t="s">
        <v>28</v>
      </c>
      <c r="P19" s="4" t="s">
        <v>131</v>
      </c>
      <c r="Q19" s="4">
        <v>93.3</v>
      </c>
    </row>
    <row r="20" spans="1:17" ht="30" customHeight="1" x14ac:dyDescent="0.35">
      <c r="A20" s="78"/>
      <c r="B20" s="4">
        <v>10</v>
      </c>
      <c r="C20" s="9">
        <v>245938</v>
      </c>
      <c r="D20" s="5" t="s">
        <v>29</v>
      </c>
      <c r="E20" s="6" t="s">
        <v>48</v>
      </c>
      <c r="F20" s="4" t="s">
        <v>49</v>
      </c>
      <c r="G20" s="7">
        <v>25</v>
      </c>
      <c r="H20" s="4" t="s">
        <v>27</v>
      </c>
      <c r="I20" s="4"/>
      <c r="J20" s="4"/>
      <c r="K20" s="4"/>
      <c r="L20" s="4" t="s">
        <v>11</v>
      </c>
      <c r="M20" s="4"/>
      <c r="N20" s="4" t="s">
        <v>141</v>
      </c>
      <c r="O20" s="4" t="s">
        <v>142</v>
      </c>
      <c r="P20" s="4" t="s">
        <v>131</v>
      </c>
      <c r="Q20" s="4">
        <v>46.8</v>
      </c>
    </row>
    <row r="21" spans="1:17" ht="15" thickBot="1" x14ac:dyDescent="0.4">
      <c r="G21" s="23">
        <f>SUM(G11:G20)</f>
        <v>430.42</v>
      </c>
      <c r="Q21" s="24">
        <f>SUM(Q11:Q20)</f>
        <v>752.17039999999986</v>
      </c>
    </row>
    <row r="22" spans="1:17" ht="15" thickTop="1" x14ac:dyDescent="0.35"/>
    <row r="23" spans="1:17" ht="24" x14ac:dyDescent="0.35">
      <c r="C23" s="19" t="s">
        <v>3</v>
      </c>
      <c r="D23" s="19" t="s">
        <v>4</v>
      </c>
      <c r="E23" s="19" t="s">
        <v>50</v>
      </c>
      <c r="F23" s="19" t="s">
        <v>51</v>
      </c>
      <c r="G23" s="19" t="s">
        <v>52</v>
      </c>
      <c r="H23" s="19" t="s">
        <v>53</v>
      </c>
      <c r="I23" s="19" t="s">
        <v>54</v>
      </c>
      <c r="J23" s="19" t="s">
        <v>55</v>
      </c>
      <c r="K23" s="19" t="s">
        <v>56</v>
      </c>
      <c r="L23" s="19" t="s">
        <v>57</v>
      </c>
      <c r="M23" s="19" t="s">
        <v>58</v>
      </c>
      <c r="N23" s="19" t="s">
        <v>59</v>
      </c>
      <c r="O23" s="19" t="s">
        <v>60</v>
      </c>
    </row>
    <row r="24" spans="1:17" ht="29" x14ac:dyDescent="0.35">
      <c r="A24" s="79" t="s">
        <v>143</v>
      </c>
      <c r="B24" s="4">
        <v>1</v>
      </c>
      <c r="C24" s="4">
        <v>298278</v>
      </c>
      <c r="D24" s="5" t="s">
        <v>25</v>
      </c>
      <c r="E24" s="6" t="s">
        <v>144</v>
      </c>
      <c r="F24" s="4" t="s">
        <v>145</v>
      </c>
      <c r="G24" s="7">
        <v>82.5</v>
      </c>
      <c r="H24" s="4" t="s">
        <v>72</v>
      </c>
      <c r="I24" s="4" t="s">
        <v>146</v>
      </c>
      <c r="J24" s="4"/>
      <c r="K24" s="4"/>
      <c r="L24" s="4" t="s">
        <v>147</v>
      </c>
      <c r="M24" s="4"/>
      <c r="N24" s="4" t="s">
        <v>148</v>
      </c>
      <c r="O24" s="4" t="s">
        <v>149</v>
      </c>
    </row>
    <row r="25" spans="1:17" ht="29" x14ac:dyDescent="0.35">
      <c r="A25" s="80"/>
      <c r="B25" s="4">
        <v>2</v>
      </c>
      <c r="C25" s="4">
        <v>287766</v>
      </c>
      <c r="D25" s="5" t="s">
        <v>150</v>
      </c>
      <c r="E25" s="6" t="s">
        <v>151</v>
      </c>
      <c r="F25" s="4" t="s">
        <v>152</v>
      </c>
      <c r="G25" s="7">
        <v>34</v>
      </c>
      <c r="H25" s="4" t="s">
        <v>153</v>
      </c>
      <c r="I25" s="4"/>
      <c r="J25" s="4"/>
      <c r="K25" s="4"/>
      <c r="L25" s="4" t="s">
        <v>111</v>
      </c>
      <c r="M25" s="4"/>
      <c r="N25" s="4" t="s">
        <v>154</v>
      </c>
      <c r="O25" s="4" t="s">
        <v>155</v>
      </c>
    </row>
    <row r="26" spans="1:17" ht="29" x14ac:dyDescent="0.35">
      <c r="A26" s="80"/>
      <c r="B26" s="4">
        <v>3</v>
      </c>
      <c r="C26" s="4">
        <v>260282</v>
      </c>
      <c r="D26" s="5" t="s">
        <v>150</v>
      </c>
      <c r="E26" s="6" t="s">
        <v>156</v>
      </c>
      <c r="F26" s="4" t="s">
        <v>157</v>
      </c>
      <c r="G26" s="7">
        <v>100</v>
      </c>
      <c r="H26" s="4" t="s">
        <v>22</v>
      </c>
      <c r="I26" s="4"/>
      <c r="J26" s="4" t="s">
        <v>110</v>
      </c>
      <c r="K26" s="4"/>
      <c r="L26" s="4" t="s">
        <v>111</v>
      </c>
      <c r="M26" s="4"/>
      <c r="N26" s="4" t="s">
        <v>158</v>
      </c>
      <c r="O26" s="4" t="s">
        <v>159</v>
      </c>
    </row>
    <row r="27" spans="1:17" x14ac:dyDescent="0.35">
      <c r="A27" s="80"/>
      <c r="B27" s="4">
        <v>4</v>
      </c>
      <c r="C27" s="4">
        <v>270807</v>
      </c>
      <c r="D27" s="5" t="s">
        <v>10</v>
      </c>
      <c r="E27" s="6" t="s">
        <v>160</v>
      </c>
      <c r="F27" s="4" t="s">
        <v>161</v>
      </c>
      <c r="G27" s="7">
        <v>140</v>
      </c>
      <c r="H27" s="4" t="s">
        <v>115</v>
      </c>
      <c r="I27" s="4"/>
      <c r="J27" s="4"/>
      <c r="K27" s="4"/>
      <c r="L27" s="4" t="s">
        <v>111</v>
      </c>
      <c r="M27" s="4"/>
      <c r="N27" s="4" t="s">
        <v>162</v>
      </c>
      <c r="O27" s="4" t="s">
        <v>163</v>
      </c>
    </row>
    <row r="28" spans="1:17" ht="21" x14ac:dyDescent="0.35">
      <c r="A28" s="80"/>
      <c r="B28" s="4">
        <v>5</v>
      </c>
      <c r="C28" s="4">
        <v>275069</v>
      </c>
      <c r="D28" s="5" t="s">
        <v>43</v>
      </c>
      <c r="E28" s="6" t="s">
        <v>164</v>
      </c>
      <c r="F28" s="4" t="s">
        <v>165</v>
      </c>
      <c r="G28" s="7">
        <v>5</v>
      </c>
      <c r="H28" s="4" t="s">
        <v>22</v>
      </c>
      <c r="I28" s="4" t="s">
        <v>166</v>
      </c>
      <c r="J28" s="4"/>
      <c r="K28" s="4"/>
      <c r="L28" s="4" t="s">
        <v>167</v>
      </c>
      <c r="M28" s="4"/>
      <c r="N28" s="4" t="s">
        <v>168</v>
      </c>
      <c r="O28" s="4" t="s">
        <v>169</v>
      </c>
    </row>
    <row r="29" spans="1:17" x14ac:dyDescent="0.35">
      <c r="A29" s="80"/>
      <c r="B29" s="4">
        <v>6</v>
      </c>
      <c r="C29" s="4">
        <v>249728</v>
      </c>
      <c r="D29" s="5" t="s">
        <v>29</v>
      </c>
      <c r="E29" s="6" t="s">
        <v>170</v>
      </c>
      <c r="F29" s="4" t="s">
        <v>171</v>
      </c>
      <c r="G29" s="7">
        <v>50</v>
      </c>
      <c r="H29" s="4" t="s">
        <v>27</v>
      </c>
      <c r="I29" s="4"/>
      <c r="J29" s="4"/>
      <c r="K29" s="4"/>
      <c r="L29" s="4" t="s">
        <v>111</v>
      </c>
      <c r="M29" s="4"/>
      <c r="N29" s="4" t="s">
        <v>20</v>
      </c>
      <c r="O29" s="4">
        <v>0</v>
      </c>
    </row>
    <row r="30" spans="1:17" x14ac:dyDescent="0.35">
      <c r="A30" s="80"/>
      <c r="B30" s="4">
        <v>7</v>
      </c>
      <c r="C30" s="9">
        <v>264866</v>
      </c>
      <c r="D30" s="5" t="s">
        <v>29</v>
      </c>
      <c r="E30" s="6" t="s">
        <v>172</v>
      </c>
      <c r="F30" s="4" t="s">
        <v>173</v>
      </c>
      <c r="G30" s="7">
        <v>33</v>
      </c>
      <c r="H30" s="4" t="s">
        <v>115</v>
      </c>
      <c r="I30" s="4"/>
      <c r="J30" s="4"/>
      <c r="K30" s="4"/>
      <c r="L30" s="4" t="s">
        <v>26</v>
      </c>
      <c r="M30" s="4"/>
      <c r="N30" s="4" t="s">
        <v>174</v>
      </c>
      <c r="O30" s="4" t="s">
        <v>14</v>
      </c>
    </row>
    <row r="31" spans="1:17" x14ac:dyDescent="0.35">
      <c r="A31" s="80"/>
      <c r="B31" s="4">
        <v>8</v>
      </c>
      <c r="C31" s="9">
        <v>293672</v>
      </c>
      <c r="D31" s="5" t="s">
        <v>29</v>
      </c>
      <c r="E31" s="6" t="s">
        <v>175</v>
      </c>
      <c r="F31" s="4" t="s">
        <v>176</v>
      </c>
      <c r="G31" s="7">
        <v>10</v>
      </c>
      <c r="H31" s="4" t="s">
        <v>27</v>
      </c>
      <c r="I31" s="4"/>
      <c r="J31" s="4"/>
      <c r="K31" s="4"/>
      <c r="L31" s="4" t="s">
        <v>111</v>
      </c>
      <c r="M31" s="4"/>
      <c r="N31" s="4" t="s">
        <v>177</v>
      </c>
      <c r="O31" s="4" t="s">
        <v>178</v>
      </c>
    </row>
    <row r="32" spans="1:17" ht="29" x14ac:dyDescent="0.35">
      <c r="A32" s="80"/>
      <c r="B32" s="4">
        <v>9</v>
      </c>
      <c r="C32" s="9">
        <v>287121</v>
      </c>
      <c r="D32" s="5" t="s">
        <v>43</v>
      </c>
      <c r="E32" s="6" t="s">
        <v>179</v>
      </c>
      <c r="F32" s="4" t="s">
        <v>180</v>
      </c>
      <c r="G32" s="7">
        <v>38.6</v>
      </c>
      <c r="H32" s="4" t="s">
        <v>27</v>
      </c>
      <c r="I32" s="4"/>
      <c r="J32" s="4" t="s">
        <v>23</v>
      </c>
      <c r="K32" s="4"/>
      <c r="L32" s="4" t="s">
        <v>111</v>
      </c>
      <c r="M32" s="4"/>
      <c r="N32" s="4" t="s">
        <v>82</v>
      </c>
      <c r="O32" s="4">
        <v>0</v>
      </c>
    </row>
    <row r="33" spans="1:15" ht="21" x14ac:dyDescent="0.35">
      <c r="A33" s="80"/>
      <c r="B33" s="4">
        <v>10</v>
      </c>
      <c r="C33" s="9">
        <v>301060</v>
      </c>
      <c r="D33" s="5" t="s">
        <v>29</v>
      </c>
      <c r="E33" s="6" t="s">
        <v>181</v>
      </c>
      <c r="F33" s="4" t="s">
        <v>182</v>
      </c>
      <c r="G33" s="7">
        <v>25</v>
      </c>
      <c r="H33" s="4" t="s">
        <v>183</v>
      </c>
      <c r="I33" s="4"/>
      <c r="J33" s="4" t="s">
        <v>184</v>
      </c>
      <c r="K33" s="4"/>
      <c r="L33" s="4" t="s">
        <v>17</v>
      </c>
      <c r="M33" s="4"/>
      <c r="N33" s="4" t="s">
        <v>185</v>
      </c>
      <c r="O33" s="4" t="s">
        <v>186</v>
      </c>
    </row>
    <row r="34" spans="1:15" x14ac:dyDescent="0.35">
      <c r="A34" s="80"/>
      <c r="B34" s="4">
        <v>11</v>
      </c>
      <c r="C34" s="9">
        <v>287606</v>
      </c>
      <c r="D34" s="5" t="s">
        <v>25</v>
      </c>
      <c r="E34" s="6" t="s">
        <v>187</v>
      </c>
      <c r="F34" s="4" t="s">
        <v>188</v>
      </c>
      <c r="G34" s="7">
        <v>50</v>
      </c>
      <c r="H34" s="4" t="s">
        <v>22</v>
      </c>
      <c r="I34" s="4" t="s">
        <v>189</v>
      </c>
      <c r="J34" s="4"/>
      <c r="K34" s="4"/>
      <c r="L34" s="4" t="s">
        <v>111</v>
      </c>
      <c r="M34" s="4"/>
      <c r="N34" s="4" t="s">
        <v>190</v>
      </c>
      <c r="O34" s="4" t="s">
        <v>191</v>
      </c>
    </row>
    <row r="35" spans="1:15" x14ac:dyDescent="0.35">
      <c r="A35" s="80"/>
      <c r="B35" s="4">
        <v>12</v>
      </c>
      <c r="C35" s="9">
        <v>298157</v>
      </c>
      <c r="D35" s="5" t="s">
        <v>29</v>
      </c>
      <c r="E35" s="6" t="s">
        <v>192</v>
      </c>
      <c r="F35" s="4" t="s">
        <v>193</v>
      </c>
      <c r="G35" s="7">
        <v>10</v>
      </c>
      <c r="H35" s="4" t="s">
        <v>194</v>
      </c>
      <c r="I35" s="4"/>
      <c r="J35" s="4" t="s">
        <v>195</v>
      </c>
      <c r="K35" s="4"/>
      <c r="L35" s="4" t="s">
        <v>17</v>
      </c>
      <c r="M35" s="4" t="s">
        <v>117</v>
      </c>
      <c r="N35" s="4" t="s">
        <v>174</v>
      </c>
      <c r="O35" s="4" t="s">
        <v>119</v>
      </c>
    </row>
    <row r="36" spans="1:15" ht="29" x14ac:dyDescent="0.35">
      <c r="A36" s="80"/>
      <c r="B36" s="4">
        <v>13</v>
      </c>
      <c r="C36" s="9">
        <v>275802</v>
      </c>
      <c r="D36" s="5" t="s">
        <v>25</v>
      </c>
      <c r="E36" s="25" t="s">
        <v>196</v>
      </c>
      <c r="F36" s="4" t="s">
        <v>197</v>
      </c>
      <c r="G36" s="7">
        <v>23</v>
      </c>
      <c r="H36" s="4" t="s">
        <v>72</v>
      </c>
      <c r="I36" s="4"/>
      <c r="J36" s="4"/>
      <c r="K36" s="4"/>
      <c r="L36" s="4" t="s">
        <v>198</v>
      </c>
      <c r="M36" s="4"/>
      <c r="N36" s="4" t="s">
        <v>199</v>
      </c>
      <c r="O36" s="4">
        <v>0</v>
      </c>
    </row>
    <row r="37" spans="1:15" ht="15" thickBot="1" x14ac:dyDescent="0.4">
      <c r="G37" s="23">
        <f>SUM(G24:G36)</f>
        <v>601.1</v>
      </c>
    </row>
    <row r="38" spans="1:15" ht="15" thickTop="1" x14ac:dyDescent="0.35"/>
    <row r="40" spans="1:15" ht="24" x14ac:dyDescent="0.35">
      <c r="C40" s="21" t="s">
        <v>3</v>
      </c>
      <c r="D40" s="21" t="s">
        <v>4</v>
      </c>
      <c r="E40" s="21" t="s">
        <v>50</v>
      </c>
      <c r="F40" s="21" t="s">
        <v>51</v>
      </c>
      <c r="G40" s="21" t="s">
        <v>52</v>
      </c>
      <c r="H40" s="21" t="s">
        <v>53</v>
      </c>
      <c r="I40" s="21" t="s">
        <v>54</v>
      </c>
      <c r="J40" s="21" t="s">
        <v>55</v>
      </c>
      <c r="K40" s="21" t="s">
        <v>56</v>
      </c>
      <c r="L40" s="21" t="s">
        <v>57</v>
      </c>
      <c r="M40" s="21" t="s">
        <v>58</v>
      </c>
      <c r="N40" s="21" t="s">
        <v>59</v>
      </c>
      <c r="O40" s="21" t="s">
        <v>60</v>
      </c>
    </row>
    <row r="41" spans="1:15" ht="36" customHeight="1" x14ac:dyDescent="0.35">
      <c r="A41" s="81" t="s">
        <v>200</v>
      </c>
      <c r="B41" s="4">
        <v>1</v>
      </c>
      <c r="C41" s="4">
        <v>276004</v>
      </c>
      <c r="D41" s="5" t="s">
        <v>25</v>
      </c>
      <c r="E41" s="6" t="s">
        <v>84</v>
      </c>
      <c r="F41" s="4" t="s">
        <v>201</v>
      </c>
      <c r="G41" s="11">
        <v>160</v>
      </c>
      <c r="H41" s="4" t="s">
        <v>72</v>
      </c>
      <c r="I41" s="4"/>
      <c r="J41" s="4"/>
      <c r="K41" s="4"/>
      <c r="L41" s="4" t="s">
        <v>111</v>
      </c>
      <c r="M41" s="4"/>
      <c r="N41" s="4" t="s">
        <v>86</v>
      </c>
      <c r="O41" s="4" t="s">
        <v>87</v>
      </c>
    </row>
    <row r="42" spans="1:15" ht="29" x14ac:dyDescent="0.35">
      <c r="A42" s="82"/>
      <c r="B42" s="4">
        <v>2</v>
      </c>
      <c r="C42" s="4">
        <v>294068</v>
      </c>
      <c r="D42" s="5" t="s">
        <v>150</v>
      </c>
      <c r="E42" s="6" t="s">
        <v>202</v>
      </c>
      <c r="F42" s="4" t="s">
        <v>203</v>
      </c>
      <c r="G42" s="11">
        <v>15</v>
      </c>
      <c r="H42" s="4" t="s">
        <v>153</v>
      </c>
      <c r="I42" s="4" t="s">
        <v>204</v>
      </c>
      <c r="J42" s="4"/>
      <c r="K42" s="4"/>
      <c r="L42" s="4" t="s">
        <v>111</v>
      </c>
      <c r="M42" s="4"/>
      <c r="N42" s="4" t="s">
        <v>205</v>
      </c>
      <c r="O42" s="4" t="s">
        <v>206</v>
      </c>
    </row>
    <row r="43" spans="1:15" ht="21" x14ac:dyDescent="0.35">
      <c r="A43" s="82"/>
      <c r="B43" s="4">
        <v>3</v>
      </c>
      <c r="C43" s="4" t="s">
        <v>207</v>
      </c>
      <c r="D43" s="5" t="s">
        <v>29</v>
      </c>
      <c r="E43" s="6" t="s">
        <v>208</v>
      </c>
      <c r="F43" s="4" t="s">
        <v>209</v>
      </c>
      <c r="G43" s="11"/>
      <c r="H43" s="4" t="s">
        <v>27</v>
      </c>
      <c r="I43" s="4" t="s">
        <v>100</v>
      </c>
      <c r="J43" s="4" t="s">
        <v>210</v>
      </c>
      <c r="K43" s="4"/>
      <c r="L43" s="4" t="s">
        <v>111</v>
      </c>
      <c r="M43" s="4"/>
      <c r="N43" s="4" t="s">
        <v>211</v>
      </c>
      <c r="O43" s="4" t="e">
        <v>#N/A</v>
      </c>
    </row>
    <row r="44" spans="1:15" ht="21" x14ac:dyDescent="0.35">
      <c r="A44" s="82"/>
      <c r="B44" s="4">
        <v>4</v>
      </c>
      <c r="C44" s="4">
        <v>246421</v>
      </c>
      <c r="D44" s="5" t="s">
        <v>29</v>
      </c>
      <c r="E44" s="6" t="s">
        <v>212</v>
      </c>
      <c r="F44" s="4" t="s">
        <v>213</v>
      </c>
      <c r="G44" s="11">
        <v>40</v>
      </c>
      <c r="H44" s="4" t="s">
        <v>115</v>
      </c>
      <c r="I44" s="4"/>
      <c r="J44" s="4"/>
      <c r="K44" s="4"/>
      <c r="L44" s="4" t="s">
        <v>11</v>
      </c>
      <c r="M44" s="4"/>
      <c r="N44" s="4" t="s">
        <v>214</v>
      </c>
      <c r="O44" s="4" t="s">
        <v>215</v>
      </c>
    </row>
    <row r="45" spans="1:15" ht="29" x14ac:dyDescent="0.35">
      <c r="A45" s="82"/>
      <c r="B45" s="4">
        <v>5</v>
      </c>
      <c r="C45" s="4">
        <v>263742</v>
      </c>
      <c r="D45" s="5" t="s">
        <v>43</v>
      </c>
      <c r="E45" s="6" t="s">
        <v>216</v>
      </c>
      <c r="F45" s="4" t="s">
        <v>217</v>
      </c>
      <c r="G45" s="11">
        <v>70</v>
      </c>
      <c r="H45" s="4" t="s">
        <v>72</v>
      </c>
      <c r="I45" s="4"/>
      <c r="J45" s="4"/>
      <c r="K45" s="4" t="s">
        <v>218</v>
      </c>
      <c r="L45" s="4" t="s">
        <v>111</v>
      </c>
      <c r="M45" s="4"/>
      <c r="N45" s="4" t="s">
        <v>219</v>
      </c>
      <c r="O45" s="4" t="s">
        <v>125</v>
      </c>
    </row>
    <row r="46" spans="1:15" ht="31.5" x14ac:dyDescent="0.35">
      <c r="A46" s="82"/>
      <c r="B46" s="4">
        <v>6</v>
      </c>
      <c r="C46" s="9">
        <v>176533</v>
      </c>
      <c r="D46" s="5" t="s">
        <v>25</v>
      </c>
      <c r="E46" s="6" t="s">
        <v>220</v>
      </c>
      <c r="F46" s="4" t="s">
        <v>221</v>
      </c>
      <c r="G46" s="11">
        <v>50</v>
      </c>
      <c r="H46" s="4" t="s">
        <v>222</v>
      </c>
      <c r="I46" s="4"/>
      <c r="J46" s="4"/>
      <c r="K46" s="4"/>
      <c r="L46" s="4" t="s">
        <v>111</v>
      </c>
      <c r="M46" s="4"/>
      <c r="N46" s="4" t="s">
        <v>223</v>
      </c>
      <c r="O46" s="4" t="s">
        <v>224</v>
      </c>
    </row>
    <row r="47" spans="1:15" x14ac:dyDescent="0.35">
      <c r="A47" s="82"/>
      <c r="B47" s="4">
        <v>7</v>
      </c>
      <c r="C47" s="9">
        <v>215511</v>
      </c>
      <c r="D47" s="5" t="s">
        <v>25</v>
      </c>
      <c r="E47" s="6" t="s">
        <v>225</v>
      </c>
      <c r="F47" s="4" t="s">
        <v>226</v>
      </c>
      <c r="G47" s="11">
        <v>40.066499999999998</v>
      </c>
      <c r="H47" s="4" t="s">
        <v>16</v>
      </c>
      <c r="I47" s="4" t="s">
        <v>227</v>
      </c>
      <c r="J47" s="4"/>
      <c r="K47" s="4"/>
      <c r="L47" s="4" t="s">
        <v>111</v>
      </c>
      <c r="M47" s="4"/>
      <c r="N47" s="4" t="s">
        <v>228</v>
      </c>
      <c r="O47" s="4" t="s">
        <v>229</v>
      </c>
    </row>
    <row r="48" spans="1:15" x14ac:dyDescent="0.35">
      <c r="A48" s="82"/>
      <c r="B48" s="4">
        <v>8</v>
      </c>
      <c r="C48" s="9">
        <v>292537</v>
      </c>
      <c r="D48" s="5" t="s">
        <v>25</v>
      </c>
      <c r="E48" s="6" t="s">
        <v>230</v>
      </c>
      <c r="F48" s="4" t="s">
        <v>231</v>
      </c>
      <c r="G48" s="11">
        <v>55</v>
      </c>
      <c r="H48" s="4" t="s">
        <v>22</v>
      </c>
      <c r="I48" s="4"/>
      <c r="J48" s="4"/>
      <c r="K48" s="4"/>
      <c r="L48" s="4" t="s">
        <v>111</v>
      </c>
      <c r="M48" s="4"/>
      <c r="N48" s="4" t="s">
        <v>232</v>
      </c>
      <c r="O48" s="4" t="s">
        <v>233</v>
      </c>
    </row>
    <row r="49" spans="1:15" ht="31.5" x14ac:dyDescent="0.35">
      <c r="A49" s="82"/>
      <c r="B49" s="4">
        <v>9</v>
      </c>
      <c r="C49" s="9">
        <v>312443</v>
      </c>
      <c r="D49" s="5" t="s">
        <v>12</v>
      </c>
      <c r="E49" s="6" t="s">
        <v>234</v>
      </c>
      <c r="F49" s="4" t="s">
        <v>235</v>
      </c>
      <c r="G49" s="6">
        <v>36</v>
      </c>
      <c r="H49" s="4" t="s">
        <v>127</v>
      </c>
      <c r="I49" s="4" t="s">
        <v>236</v>
      </c>
      <c r="J49" s="4"/>
      <c r="K49" s="4" t="s">
        <v>237</v>
      </c>
      <c r="L49" s="4" t="s">
        <v>26</v>
      </c>
      <c r="M49" s="4" t="s">
        <v>238</v>
      </c>
      <c r="N49" s="4" t="s">
        <v>239</v>
      </c>
      <c r="O49" s="4" t="s">
        <v>240</v>
      </c>
    </row>
    <row r="50" spans="1:15" ht="29" x14ac:dyDescent="0.35">
      <c r="A50" s="82"/>
      <c r="B50" s="4">
        <v>10</v>
      </c>
      <c r="C50" s="9">
        <v>287599</v>
      </c>
      <c r="D50" s="5" t="s">
        <v>150</v>
      </c>
      <c r="E50" s="6" t="s">
        <v>241</v>
      </c>
      <c r="F50" s="4" t="s">
        <v>242</v>
      </c>
      <c r="G50" s="11">
        <v>35.65</v>
      </c>
      <c r="H50" s="4" t="s">
        <v>22</v>
      </c>
      <c r="I50" s="4" t="s">
        <v>243</v>
      </c>
      <c r="J50" s="4" t="s">
        <v>110</v>
      </c>
      <c r="K50" s="4"/>
      <c r="L50" s="4" t="s">
        <v>111</v>
      </c>
      <c r="M50" s="4"/>
      <c r="N50" s="4" t="s">
        <v>244</v>
      </c>
      <c r="O50" s="4" t="s">
        <v>245</v>
      </c>
    </row>
    <row r="51" spans="1:15" ht="21" x14ac:dyDescent="0.35">
      <c r="A51" s="82"/>
      <c r="B51" s="4">
        <v>11</v>
      </c>
      <c r="C51" s="9" t="s">
        <v>246</v>
      </c>
      <c r="D51" s="5" t="s">
        <v>43</v>
      </c>
      <c r="E51" s="6" t="s">
        <v>247</v>
      </c>
      <c r="F51" s="4" t="s">
        <v>248</v>
      </c>
      <c r="G51" s="11">
        <v>25</v>
      </c>
      <c r="H51" s="4" t="s">
        <v>27</v>
      </c>
      <c r="I51" s="4"/>
      <c r="J51" s="4"/>
      <c r="K51" s="4"/>
      <c r="L51" s="4" t="s">
        <v>111</v>
      </c>
      <c r="M51" s="4"/>
      <c r="N51" s="4" t="s">
        <v>249</v>
      </c>
      <c r="O51" s="4" t="e">
        <v>#N/A</v>
      </c>
    </row>
    <row r="52" spans="1:15" ht="29" x14ac:dyDescent="0.35">
      <c r="A52" s="82"/>
      <c r="B52" s="4">
        <v>12</v>
      </c>
      <c r="C52" s="9">
        <v>248616</v>
      </c>
      <c r="D52" s="5" t="s">
        <v>150</v>
      </c>
      <c r="E52" s="6" t="s">
        <v>250</v>
      </c>
      <c r="F52" s="4" t="s">
        <v>251</v>
      </c>
      <c r="G52" s="11">
        <v>120</v>
      </c>
      <c r="H52" s="4" t="s">
        <v>153</v>
      </c>
      <c r="I52" s="4" t="s">
        <v>252</v>
      </c>
      <c r="J52" s="4" t="s">
        <v>253</v>
      </c>
      <c r="K52" s="4"/>
      <c r="L52" s="4" t="s">
        <v>111</v>
      </c>
      <c r="M52" s="4"/>
      <c r="N52" s="4" t="s">
        <v>18</v>
      </c>
      <c r="O52" s="4" t="s">
        <v>19</v>
      </c>
    </row>
    <row r="53" spans="1:15" ht="29" x14ac:dyDescent="0.35">
      <c r="A53" s="82"/>
      <c r="B53" s="4">
        <v>13</v>
      </c>
      <c r="C53" s="9">
        <v>270798</v>
      </c>
      <c r="D53" s="5" t="s">
        <v>25</v>
      </c>
      <c r="E53" s="25" t="s">
        <v>254</v>
      </c>
      <c r="F53" s="4" t="s">
        <v>255</v>
      </c>
      <c r="G53" s="11">
        <v>27</v>
      </c>
      <c r="H53" s="4" t="s">
        <v>72</v>
      </c>
      <c r="I53" s="4" t="s">
        <v>256</v>
      </c>
      <c r="J53" s="4"/>
      <c r="K53" s="4"/>
      <c r="L53" s="4" t="s">
        <v>17</v>
      </c>
      <c r="M53" s="4"/>
      <c r="N53" s="4" t="s">
        <v>199</v>
      </c>
      <c r="O53" s="4">
        <v>0</v>
      </c>
    </row>
    <row r="54" spans="1:15" ht="15" thickBot="1" x14ac:dyDescent="0.4">
      <c r="G54" s="23">
        <f>SUM(G41:G53)</f>
        <v>673.7165</v>
      </c>
    </row>
    <row r="55" spans="1:15" ht="15" thickTop="1" x14ac:dyDescent="0.35"/>
  </sheetData>
  <mergeCells count="4">
    <mergeCell ref="A2:A7"/>
    <mergeCell ref="A11:A20"/>
    <mergeCell ref="A24:A36"/>
    <mergeCell ref="A41:A53"/>
  </mergeCells>
  <conditionalFormatting sqref="A11">
    <cfRule type="duplicateValues" dxfId="20" priority="15"/>
  </conditionalFormatting>
  <conditionalFormatting sqref="A24">
    <cfRule type="duplicateValues" dxfId="19" priority="7"/>
  </conditionalFormatting>
  <conditionalFormatting sqref="A41">
    <cfRule type="duplicateValues" dxfId="18" priority="2"/>
  </conditionalFormatting>
  <conditionalFormatting sqref="B2:B7">
    <cfRule type="duplicateValues" dxfId="17" priority="14"/>
  </conditionalFormatting>
  <conditionalFormatting sqref="B11:B20">
    <cfRule type="duplicateValues" dxfId="16" priority="13"/>
  </conditionalFormatting>
  <conditionalFormatting sqref="B24:B36">
    <cfRule type="duplicateValues" dxfId="15" priority="8"/>
  </conditionalFormatting>
  <conditionalFormatting sqref="B41:B53">
    <cfRule type="duplicateValues" dxfId="14" priority="3"/>
  </conditionalFormatting>
  <conditionalFormatting sqref="C1:C7">
    <cfRule type="duplicateValues" dxfId="13" priority="20"/>
  </conditionalFormatting>
  <conditionalFormatting sqref="C11:C20">
    <cfRule type="duplicateValues" dxfId="12" priority="18"/>
  </conditionalFormatting>
  <conditionalFormatting sqref="C23">
    <cfRule type="duplicateValues" dxfId="11" priority="9"/>
  </conditionalFormatting>
  <conditionalFormatting sqref="C24:C36">
    <cfRule type="duplicateValues" dxfId="10" priority="11"/>
  </conditionalFormatting>
  <conditionalFormatting sqref="C41:C53">
    <cfRule type="duplicateValues" dxfId="9" priority="5"/>
  </conditionalFormatting>
  <conditionalFormatting sqref="C40:O40">
    <cfRule type="duplicateValues" dxfId="8" priority="21"/>
  </conditionalFormatting>
  <conditionalFormatting sqref="C10:Q10">
    <cfRule type="duplicateValues" dxfId="7" priority="16"/>
  </conditionalFormatting>
  <conditionalFormatting sqref="E1:E7">
    <cfRule type="duplicateValues" dxfId="6" priority="19"/>
  </conditionalFormatting>
  <conditionalFormatting sqref="E11:E20">
    <cfRule type="duplicateValues" dxfId="5" priority="17"/>
  </conditionalFormatting>
  <conditionalFormatting sqref="E23:E36">
    <cfRule type="duplicateValues" dxfId="4" priority="10"/>
  </conditionalFormatting>
  <conditionalFormatting sqref="E41:E53">
    <cfRule type="duplicateValues" dxfId="3" priority="4"/>
  </conditionalFormatting>
  <conditionalFormatting sqref="S4">
    <cfRule type="duplicateValues" dxfId="2" priority="12"/>
  </conditionalFormatting>
  <conditionalFormatting sqref="S9">
    <cfRule type="duplicateValues" dxfId="1" priority="6"/>
  </conditionalFormatting>
  <conditionalFormatting sqref="S10">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5</vt:i4>
      </vt:variant>
    </vt:vector>
  </HeadingPairs>
  <TitlesOfParts>
    <vt:vector size="8" baseType="lpstr">
      <vt:lpstr>List of win-loss factors</vt:lpstr>
      <vt:lpstr>Template</vt:lpstr>
      <vt:lpstr>SST Involved WLA_02.07.24</vt:lpstr>
      <vt:lpstr>Capability_or_Credentials</vt:lpstr>
      <vt:lpstr>Commercials</vt:lpstr>
      <vt:lpstr>Relationship</vt:lpstr>
      <vt:lpstr>Solution</vt:lpstr>
      <vt:lpstr>Strategic_Initiatives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Avinash Thakur2</dc:creator>
  <cp:lastModifiedBy>Chandrika Basak</cp:lastModifiedBy>
  <dcterms:created xsi:type="dcterms:W3CDTF">2015-06-05T18:17:20Z</dcterms:created>
  <dcterms:modified xsi:type="dcterms:W3CDTF">2025-11-27T13:09:56Z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331f486-f8b5-456b-a19a-dbe0d296c5fd_Enabled">
    <vt:lpwstr>true</vt:lpwstr>
  </property>
  <property fmtid="{D5CDD505-2E9C-101B-9397-08002B2CF9AE}" pid="3" name="MSIP_Label_7331f486-f8b5-456b-a19a-dbe0d296c5fd_SetDate">
    <vt:lpwstr>2024-07-25T05:12:16Z</vt:lpwstr>
  </property>
  <property fmtid="{D5CDD505-2E9C-101B-9397-08002B2CF9AE}" pid="4" name="MSIP_Label_7331f486-f8b5-456b-a19a-dbe0d296c5fd_Method">
    <vt:lpwstr>Privileged</vt:lpwstr>
  </property>
  <property fmtid="{D5CDD505-2E9C-101B-9397-08002B2CF9AE}" pid="5" name="MSIP_Label_7331f486-f8b5-456b-a19a-dbe0d296c5fd_Name">
    <vt:lpwstr>Company Confidential Internal Use</vt:lpwstr>
  </property>
  <property fmtid="{D5CDD505-2E9C-101B-9397-08002B2CF9AE}" pid="6" name="MSIP_Label_7331f486-f8b5-456b-a19a-dbe0d296c5fd_SiteId">
    <vt:lpwstr>edf442f5-b994-4c86-a131-b42b03a16c95</vt:lpwstr>
  </property>
  <property fmtid="{D5CDD505-2E9C-101B-9397-08002B2CF9AE}" pid="7" name="MSIP_Label_7331f486-f8b5-456b-a19a-dbe0d296c5fd_ActionId">
    <vt:lpwstr>1faaab8d-4a08-4db4-b398-566a84f2bd24</vt:lpwstr>
  </property>
  <property fmtid="{D5CDD505-2E9C-101B-9397-08002B2CF9AE}" pid="8" name="MSIP_Label_7331f486-f8b5-456b-a19a-dbe0d296c5fd_ContentBits">
    <vt:lpwstr>0</vt:lpwstr>
  </property>
</Properties>
</file>