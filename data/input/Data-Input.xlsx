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fe0e69aeb448a87c/Documents/Chandrika/Makers Lab/AI Based Deal Win Probability/POC - Probability Tool/data/input/"/>
    </mc:Choice>
  </mc:AlternateContent>
  <xr:revisionPtr revIDLastSave="4" documentId="13_ncr:1_{A73F2F1E-D1CB-4D13-997B-6C51AE4AA993}" xr6:coauthVersionLast="47" xr6:coauthVersionMax="47" xr10:uidLastSave="{A577A9BC-C7D7-43B1-9765-3281B84666C0}"/>
  <bookViews>
    <workbookView xWindow="-110" yWindow="-110" windowWidth="19420" windowHeight="10300" tabRatio="679" xr2:uid="{00000000-000D-0000-FFFF-FFFF00000000}"/>
  </bookViews>
  <sheets>
    <sheet name="Template" sheetId="13" r:id="rId1"/>
    <sheet name="SST Involved WLA_02.07.24" sheetId="4" state="hidden" r:id="rId2"/>
  </sheets>
  <definedNames>
    <definedName name="_xlnm._FilterDatabase" localSheetId="0" hidden="1">Template!#REF!</definedName>
    <definedName name="Capability_or_Credentials">#REF!</definedName>
    <definedName name="Commercials">#REF!</definedName>
    <definedName name="Relationship">#REF!</definedName>
    <definedName name="Solution">#REF!</definedName>
    <definedName name="Strategic_Initiativ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4" i="4" l="1"/>
  <c r="G37" i="4"/>
  <c r="Q21" i="4"/>
  <c r="G21" i="4"/>
  <c r="T13" i="4"/>
  <c r="T10" i="4"/>
  <c r="T9" i="4"/>
  <c r="Q8" i="4"/>
  <c r="G8" i="4"/>
  <c r="U5" i="4"/>
  <c r="U6" i="4" s="1"/>
  <c r="T5" i="4"/>
  <c r="T4" i="4"/>
  <c r="T3" i="4"/>
  <c r="T6" i="4" s="1"/>
  <c r="T14" i="4" l="1"/>
</calcChain>
</file>

<file path=xl/sharedStrings.xml><?xml version="1.0" encoding="utf-8"?>
<sst xmlns="http://schemas.openxmlformats.org/spreadsheetml/2006/main" count="453" uniqueCount="281">
  <si>
    <t>CRM ID</t>
  </si>
  <si>
    <t>SBU</t>
  </si>
  <si>
    <t>Kiran Kumar SB</t>
  </si>
  <si>
    <t>TME</t>
  </si>
  <si>
    <t>Anupam Jaiswal</t>
  </si>
  <si>
    <t>ASV</t>
  </si>
  <si>
    <t>Konark Bhasin</t>
  </si>
  <si>
    <t>Awani X</t>
  </si>
  <si>
    <t>Prasit Kumar Dash</t>
  </si>
  <si>
    <t>Divyam Vikash</t>
  </si>
  <si>
    <t>Ajay Surana</t>
  </si>
  <si>
    <t>Amiya Jain</t>
  </si>
  <si>
    <t>Arpan Bhowmik</t>
  </si>
  <si>
    <t>Mitesh Kumar</t>
  </si>
  <si>
    <t>Nancy Arockiam</t>
  </si>
  <si>
    <t>EA Driven</t>
  </si>
  <si>
    <t>Sathiya</t>
  </si>
  <si>
    <t>Kaushik Sirole</t>
  </si>
  <si>
    <t>APJ</t>
  </si>
  <si>
    <t>Srinivasa V Rao</t>
  </si>
  <si>
    <t>Mukund Adapala</t>
  </si>
  <si>
    <t>Karthik Kalusalingam</t>
  </si>
  <si>
    <t>Europe</t>
  </si>
  <si>
    <t>DNB</t>
  </si>
  <si>
    <t>Application Services Outsourcing</t>
  </si>
  <si>
    <t>GSK Global</t>
  </si>
  <si>
    <t>KESKO OYJ</t>
  </si>
  <si>
    <t>Forerunner IT Outsourcing</t>
  </si>
  <si>
    <t>Blue Shield of California</t>
  </si>
  <si>
    <t>BSC Cloud Transformation FY 23 - FY 27</t>
  </si>
  <si>
    <t>McDonald's Restaurants Ltd</t>
  </si>
  <si>
    <t>Managed Service Operations</t>
  </si>
  <si>
    <t>Cadent Gas</t>
  </si>
  <si>
    <t>IT Support &amp; Maintenance</t>
  </si>
  <si>
    <t>CUMMINS INC</t>
  </si>
  <si>
    <t>Cummins - IT Application Managed Services 2024</t>
  </si>
  <si>
    <t>IMEA</t>
  </si>
  <si>
    <t>First Abu Dhabi Bank( Bank FAB)</t>
  </si>
  <si>
    <t>Infra MSS</t>
  </si>
  <si>
    <t>Etihad Airways</t>
  </si>
  <si>
    <t>EY - Future Mode of Operations</t>
  </si>
  <si>
    <t>Nationwide Building Society</t>
  </si>
  <si>
    <t>MS On-Prem Infra and Networks</t>
  </si>
  <si>
    <t>Account Name</t>
  </si>
  <si>
    <t>Opportunity Name</t>
  </si>
  <si>
    <t xml:space="preserve">Expected TCV ($Mn) </t>
  </si>
  <si>
    <t>Deal Director</t>
  </si>
  <si>
    <t>EA &amp; Solutioning Team</t>
  </si>
  <si>
    <t>EA &amp; Origination Team</t>
  </si>
  <si>
    <t>ADMSNXT Team</t>
  </si>
  <si>
    <t>Transiton Team</t>
  </si>
  <si>
    <t>Pursuit Excellence Team</t>
  </si>
  <si>
    <t>Opportunity Owner</t>
  </si>
  <si>
    <t>Bid Manager</t>
  </si>
  <si>
    <t>CRM Sales Stage</t>
  </si>
  <si>
    <t>CRM TCV</t>
  </si>
  <si>
    <t>Q1'25 Wins</t>
  </si>
  <si>
    <t>MOHRE</t>
  </si>
  <si>
    <t>Setup of MOHRE’s Service Delivery Platform &amp; Data Migration / Development of Services &amp; Processes</t>
  </si>
  <si>
    <t>Rohit Nandi</t>
  </si>
  <si>
    <t>P4</t>
  </si>
  <si>
    <t>TCV</t>
  </si>
  <si>
    <t>#</t>
  </si>
  <si>
    <t>Project Lotus</t>
  </si>
  <si>
    <t>Project Lotus - Outsource</t>
  </si>
  <si>
    <t>Sugata Chakraborty</t>
  </si>
  <si>
    <t>Ashish Kumar</t>
  </si>
  <si>
    <t>Sridhar Narella, Anupam Jaiswal</t>
  </si>
  <si>
    <t>Shruti Bisht</t>
  </si>
  <si>
    <t>Mayank R Sharma</t>
  </si>
  <si>
    <t>Vipul Sinha</t>
  </si>
  <si>
    <t>P5</t>
  </si>
  <si>
    <t>W</t>
  </si>
  <si>
    <t>Majid Al Futtaim GS_UAE</t>
  </si>
  <si>
    <t>MAF Global Solutions - Integrated Managed Services</t>
  </si>
  <si>
    <t>SUNNY TAPADAR</t>
  </si>
  <si>
    <t>L</t>
  </si>
  <si>
    <t>Hitachi Astemo</t>
  </si>
  <si>
    <t>SAP Implementation for Wave 0 - TOPPAKO</t>
  </si>
  <si>
    <t>R Aravindh Kumaran</t>
  </si>
  <si>
    <t>Rajendra Choudhary</t>
  </si>
  <si>
    <t>W + L</t>
  </si>
  <si>
    <t>Caldic</t>
  </si>
  <si>
    <t>Caldic Managed IT Services</t>
  </si>
  <si>
    <t>Ganesh/Tarun Khurana</t>
  </si>
  <si>
    <t>Karan Sainath</t>
  </si>
  <si>
    <t>Nirmalkumar Sanakaran</t>
  </si>
  <si>
    <t>Sachin Sharma</t>
  </si>
  <si>
    <t>W/ (W + L)</t>
  </si>
  <si>
    <t xml:space="preserve">Europe </t>
  </si>
  <si>
    <t>TBC</t>
  </si>
  <si>
    <t>HSBC</t>
  </si>
  <si>
    <t>Avaloq Core Platform PaaS</t>
  </si>
  <si>
    <t>Tarun Khurana</t>
  </si>
  <si>
    <t>Madhukar Sharma</t>
  </si>
  <si>
    <t>Tanvi Bansal</t>
  </si>
  <si>
    <t>A</t>
  </si>
  <si>
    <t>H</t>
  </si>
  <si>
    <t>Q1'25 Losses</t>
  </si>
  <si>
    <t>Mahesh W</t>
  </si>
  <si>
    <t>Mayur Katiyar</t>
  </si>
  <si>
    <t>P-3</t>
  </si>
  <si>
    <t>Suruchi</t>
  </si>
  <si>
    <t>KK Ebs</t>
  </si>
  <si>
    <t>NA</t>
  </si>
  <si>
    <t>Kesava Vemulamanda</t>
  </si>
  <si>
    <t>Srirama Challa</t>
  </si>
  <si>
    <t>P0</t>
  </si>
  <si>
    <t>Sravan Kumar Susarla</t>
  </si>
  <si>
    <t>Sunil Nair / Prashanth GS</t>
  </si>
  <si>
    <t>Sindhuja Gupta</t>
  </si>
  <si>
    <t>Ilkka Kivi</t>
  </si>
  <si>
    <t>Sriram Jayaraman1</t>
  </si>
  <si>
    <t>W + L + A</t>
  </si>
  <si>
    <t xml:space="preserve">Raghavendra  Kshatriya </t>
  </si>
  <si>
    <t>Pradeep K R
Harish Kolekar</t>
  </si>
  <si>
    <t>Onjwel</t>
  </si>
  <si>
    <t>Girish Ramiah</t>
  </si>
  <si>
    <t>Pranav Pravin</t>
  </si>
  <si>
    <t>W/ 
(W + L + A)</t>
  </si>
  <si>
    <t>Karthik Kashyap</t>
  </si>
  <si>
    <t>Nandu + Sathiya</t>
  </si>
  <si>
    <t>Trinadha Grandhi</t>
  </si>
  <si>
    <t>Arif Mudgal</t>
  </si>
  <si>
    <t>P-1</t>
  </si>
  <si>
    <t>Bhoomi Patel</t>
  </si>
  <si>
    <t>Alison Dickson</t>
  </si>
  <si>
    <t>Sutheeb K</t>
  </si>
  <si>
    <t xml:space="preserve"> Kaushik Sirole, Anupam Jaiswal</t>
  </si>
  <si>
    <t>Shailesh Gosavi</t>
  </si>
  <si>
    <t>Gokulnath S</t>
  </si>
  <si>
    <t>Vishal Sharma</t>
  </si>
  <si>
    <t>P-2</t>
  </si>
  <si>
    <t>Vivek Khandelwal</t>
  </si>
  <si>
    <t>Preeti Bhonsle</t>
  </si>
  <si>
    <t>Bhini Yadav</t>
  </si>
  <si>
    <t>Q1'25 Aborts</t>
  </si>
  <si>
    <t>Department of Home Affairs, Australia</t>
  </si>
  <si>
    <t>Future Compute RFT</t>
  </si>
  <si>
    <t>Ganesh P &amp; Arun P</t>
  </si>
  <si>
    <t>Sridhar Narella</t>
  </si>
  <si>
    <t>Simon White</t>
  </si>
  <si>
    <t>Gaurav Malik1</t>
  </si>
  <si>
    <t>A Comms</t>
  </si>
  <si>
    <t>Ingram Micro Inc.</t>
  </si>
  <si>
    <t>Impulse Infra Managed Services</t>
  </si>
  <si>
    <t>Srishti Dhawan</t>
  </si>
  <si>
    <t>Raj Shekhar</t>
  </si>
  <si>
    <t>Sumeet Dhananjay Joshi</t>
  </si>
  <si>
    <t>Ring Central</t>
  </si>
  <si>
    <t>Q2 LD SPRINT- Ring Central Manila Support Center</t>
  </si>
  <si>
    <t>Manas Tushar Sampat</t>
  </si>
  <si>
    <t>Vaibhav Mawinkatti</t>
  </si>
  <si>
    <t>Western Digital Corporation</t>
  </si>
  <si>
    <t>BPI Testing-as-a-service</t>
  </si>
  <si>
    <t>Kumaresh Das</t>
  </si>
  <si>
    <t>Rudra Sayak Sardar</t>
  </si>
  <si>
    <t>du (eitc)</t>
  </si>
  <si>
    <t>ADMS</t>
  </si>
  <si>
    <t>Sumallo</t>
  </si>
  <si>
    <t>Saurabh Nandavar</t>
  </si>
  <si>
    <t>Nitish Taneja</t>
  </si>
  <si>
    <t>Jayshree S Karandikar</t>
  </si>
  <si>
    <t>IKEA NL HQ</t>
  </si>
  <si>
    <t>ITO Vendor Consolidation | Rate card</t>
  </si>
  <si>
    <t>MSC Cruises</t>
  </si>
  <si>
    <t>Project XOM</t>
  </si>
  <si>
    <t>Abhijit Das</t>
  </si>
  <si>
    <t>Llyods Bank</t>
  </si>
  <si>
    <t>LBGPersonal Loans</t>
  </si>
  <si>
    <t>Aman Pandey</t>
  </si>
  <si>
    <t>Sridhar YV</t>
  </si>
  <si>
    <t>Majid Al Futtaim Hypermarkets LLC</t>
  </si>
  <si>
    <t>MAF Retail - Infra Managed Services</t>
  </si>
  <si>
    <t>RS Components</t>
  </si>
  <si>
    <t>IT&amp;O FOM</t>
  </si>
  <si>
    <t>Bhoomi + Suruchi</t>
  </si>
  <si>
    <t>Nandu / Sunil N &amp; Parag S</t>
  </si>
  <si>
    <t>Aditi Sarao</t>
  </si>
  <si>
    <t>Sreenidhi G K</t>
  </si>
  <si>
    <t>StarHub</t>
  </si>
  <si>
    <t>Devops ADMS</t>
  </si>
  <si>
    <t>Arun, Anirudha</t>
  </si>
  <si>
    <t>Ravi</t>
  </si>
  <si>
    <t>Vishal</t>
  </si>
  <si>
    <t>Vorwerk Services GmbH</t>
  </si>
  <si>
    <t>Vorwerk _Sourcing 2025</t>
  </si>
  <si>
    <t>Suren</t>
  </si>
  <si>
    <t>Vijay Hassan</t>
  </si>
  <si>
    <r>
      <rPr>
        <b/>
        <sz val="11"/>
        <color rgb="FF000000"/>
        <rFont val="Calibri"/>
        <family val="2"/>
        <scheme val="minor"/>
      </rPr>
      <t xml:space="preserve">Western Australian Land Information Authority </t>
    </r>
    <r>
      <rPr>
        <sz val="11"/>
        <color rgb="FF000000"/>
        <rFont val="Calibri"/>
        <family val="2"/>
        <scheme val="minor"/>
      </rPr>
      <t>- Apps</t>
    </r>
  </si>
  <si>
    <t>Landgate - Applications Support</t>
  </si>
  <si>
    <t>Vikash Ranjan</t>
  </si>
  <si>
    <t>Amitabh Awasthi</t>
  </si>
  <si>
    <t>Deals on Hold 02.07.24</t>
  </si>
  <si>
    <t>SAP Implementation for Wave 0 to WAVE 3 - TOPPAKO</t>
  </si>
  <si>
    <t>AB-CMO/Product</t>
  </si>
  <si>
    <t>Yosemite - IBM SCOPE</t>
  </si>
  <si>
    <t xml:space="preserve">Raghavendra  Kshatriya, Deodatta </t>
  </si>
  <si>
    <t>Amit Kumar</t>
  </si>
  <si>
    <t>Rahul Singh</t>
  </si>
  <si>
    <t>Multiple</t>
  </si>
  <si>
    <t>EMEA BFSI Top 20</t>
  </si>
  <si>
    <t>20 deals - HSBC, Santander, State Street, etc.</t>
  </si>
  <si>
    <t>Gowrishankar Maddala</t>
  </si>
  <si>
    <t>Pankaj Kulkarni</t>
  </si>
  <si>
    <t>FIFA</t>
  </si>
  <si>
    <t>Global Technology Consolidation</t>
  </si>
  <si>
    <t>Deepti Agarwal</t>
  </si>
  <si>
    <t>Ankit Dangwal</t>
  </si>
  <si>
    <t>Government Employees Medical Scheme</t>
  </si>
  <si>
    <t>Core Information Management System</t>
  </si>
  <si>
    <t>QE - Rajath Cherukat Ravindran</t>
  </si>
  <si>
    <t>Vishal Narayan Sinha</t>
  </si>
  <si>
    <t>Mitsui Knowledge Industry</t>
  </si>
  <si>
    <t>Non-Core Business Support Services ( Rebadging -Phase wise targeting 250 People)</t>
  </si>
  <si>
    <t>S</t>
  </si>
  <si>
    <t>Laneesh Vazhayil Putur</t>
  </si>
  <si>
    <t>Sanjay Adani</t>
  </si>
  <si>
    <t>Optus Australia</t>
  </si>
  <si>
    <t>Project Cerberus</t>
  </si>
  <si>
    <t>Arindam ( Gsol)</t>
  </si>
  <si>
    <t>Nikita Ahuja</t>
  </si>
  <si>
    <t>Rupali Ashok Thakre</t>
  </si>
  <si>
    <t>Rakuten Mobile Inc.</t>
  </si>
  <si>
    <t>Unified BSS using BM</t>
  </si>
  <si>
    <t>Anuraj Singh</t>
  </si>
  <si>
    <t>Kailash Chandra1</t>
  </si>
  <si>
    <t>Specialized Bicycle Components Inc</t>
  </si>
  <si>
    <t>Specialized - Evergreen</t>
  </si>
  <si>
    <t>Sutheebh K</t>
  </si>
  <si>
    <t>QE - Krishnachaitanya Akella</t>
  </si>
  <si>
    <t>Yashna Chhabra</t>
  </si>
  <si>
    <t>Maninder Pal Singh</t>
  </si>
  <si>
    <t>Sumedha Yogesh</t>
  </si>
  <si>
    <t>TELUS</t>
  </si>
  <si>
    <t>TELUS - Beluga RFP</t>
  </si>
  <si>
    <t>Deodatta</t>
  </si>
  <si>
    <t>Shazaib Shaikh</t>
  </si>
  <si>
    <t>Arundhati Shinde</t>
  </si>
  <si>
    <t>TBD2</t>
  </si>
  <si>
    <t>United Bank of Africa</t>
  </si>
  <si>
    <t>Strategic Partnership - Heirs Technologies &amp; UBA</t>
  </si>
  <si>
    <t>Vishal Iyer</t>
  </si>
  <si>
    <t>Verizon Business (VBG)</t>
  </si>
  <si>
    <t>Connect E2E Carve-out</t>
  </si>
  <si>
    <t>Sudarshan Chaco</t>
  </si>
  <si>
    <t>Michael Hogan</t>
  </si>
  <si>
    <r>
      <rPr>
        <b/>
        <sz val="11"/>
        <color rgb="FF000000"/>
        <rFont val="Calibri"/>
        <family val="2"/>
        <scheme val="minor"/>
      </rPr>
      <t>Western Australian Land Information Authority</t>
    </r>
    <r>
      <rPr>
        <sz val="11"/>
        <color rgb="FF000000"/>
        <rFont val="Calibri"/>
        <family val="2"/>
        <scheme val="minor"/>
      </rPr>
      <t xml:space="preserve"> - Infra</t>
    </r>
  </si>
  <si>
    <t>Landgate - Infra</t>
  </si>
  <si>
    <t xml:space="preserve">Arun </t>
  </si>
  <si>
    <t>Deal Status</t>
  </si>
  <si>
    <t>Detailed Remarks</t>
  </si>
  <si>
    <t>Bid Timeline</t>
  </si>
  <si>
    <t>Primary L1</t>
  </si>
  <si>
    <t>Primary L2</t>
  </si>
  <si>
    <t>Secondary L1</t>
  </si>
  <si>
    <t>Secondary L2</t>
  </si>
  <si>
    <t>Tertiary L1</t>
  </si>
  <si>
    <t>Tertiary L2</t>
  </si>
  <si>
    <t>Expected TCV ($Mn)</t>
  </si>
  <si>
    <t>Type of Business</t>
  </si>
  <si>
    <t>Etihad</t>
  </si>
  <si>
    <t>Opportunity 1</t>
  </si>
  <si>
    <t>Q2'25</t>
  </si>
  <si>
    <t>EN</t>
  </si>
  <si>
    <t>Qtr of closure</t>
  </si>
  <si>
    <t>Deal Size bucket</t>
  </si>
  <si>
    <t>Bid Qualification (BQ)  Score</t>
  </si>
  <si>
    <t>Winnability/ BQ  Feedback</t>
  </si>
  <si>
    <t>SBU Head Involved</t>
  </si>
  <si>
    <t>SL Heads Involved</t>
  </si>
  <si>
    <t>Were we the lowest price? Y/N</t>
  </si>
  <si>
    <t>Bid-Team size</t>
  </si>
  <si>
    <t>Deal Scope</t>
  </si>
  <si>
    <t>DD</t>
  </si>
  <si>
    <t>EA</t>
  </si>
  <si>
    <t>Client Partner/ Opp. Owner</t>
  </si>
  <si>
    <t>BM</t>
  </si>
  <si>
    <t>CRM300564</t>
  </si>
  <si>
    <t>US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</si>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</sst>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0.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name val="Aptos Narrow"/>
      <family val="2"/>
    </font>
    <font>
      <sz val="8"/>
      <name val="Aptos Narrow"/>
      <family val="2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2"/>
        <bgColor rgb="FF000000"/>
      </patternFill>
    </fill>
    <fill>
      <patternFill patternType="solid">
        <fgColor theme="8" tint="0.79998168889431442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thin">
        <color theme="2"/>
      </right>
      <top/>
      <bottom/>
      <diagonal/>
    </border>
    <border>
      <left/>
      <right/>
      <top style="thin">
        <color theme="2"/>
      </top>
      <bottom style="double">
        <color indexed="64"/>
      </bottom>
      <diagonal/>
    </border>
    <border>
      <left/>
      <right/>
      <top style="thin">
        <color theme="2"/>
      </top>
      <bottom/>
      <diagonal/>
    </border>
    <border>
      <left/>
      <right style="thin">
        <color theme="2"/>
      </right>
      <top style="thin">
        <color theme="2"/>
      </top>
      <bottom/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top" wrapText="1"/>
    </xf>
    <xf numFmtId="0" fontId="6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66" fontId="4" fillId="0" borderId="2" xfId="1" applyNumberFormat="1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1" fontId="4" fillId="0" borderId="2" xfId="1" applyNumberFormat="1" applyFont="1" applyFill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10" fontId="4" fillId="0" borderId="2" xfId="2" applyNumberFormat="1" applyFont="1" applyBorder="1" applyAlignment="1">
      <alignment horizontal="center" vertical="center" wrapText="1"/>
    </xf>
    <xf numFmtId="10" fontId="6" fillId="0" borderId="2" xfId="2" applyNumberFormat="1" applyFont="1" applyBorder="1" applyAlignment="1">
      <alignment horizontal="center" vertical="center" wrapText="1"/>
    </xf>
    <xf numFmtId="1" fontId="10" fillId="0" borderId="4" xfId="0" applyNumberFormat="1" applyFont="1" applyBorder="1" applyAlignment="1">
      <alignment horizontal="center"/>
    </xf>
    <xf numFmtId="1" fontId="5" fillId="0" borderId="4" xfId="0" applyNumberFormat="1" applyFont="1" applyBorder="1" applyAlignment="1">
      <alignment horizontal="center"/>
    </xf>
    <xf numFmtId="0" fontId="7" fillId="5" borderId="2" xfId="0" applyFont="1" applyFill="1" applyBorder="1" applyAlignment="1">
      <alignment horizontal="center" vertical="center" wrapText="1"/>
    </xf>
    <xf numFmtId="166" fontId="3" fillId="0" borderId="2" xfId="0" applyNumberFormat="1" applyFont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9" fontId="3" fillId="0" borderId="2" xfId="2" applyFont="1" applyBorder="1" applyAlignment="1">
      <alignment horizontal="center" vertical="center" wrapText="1"/>
    </xf>
    <xf numFmtId="166" fontId="2" fillId="0" borderId="4" xfId="0" applyNumberFormat="1" applyFont="1" applyBorder="1" applyAlignment="1">
      <alignment horizontal="center"/>
    </xf>
    <xf numFmtId="166" fontId="5" fillId="0" borderId="4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3" fillId="0" borderId="1" xfId="0" applyFont="1" applyBorder="1" applyAlignment="1">
      <alignment horizontal="center" vertical="top"/>
    </xf>
    <xf numFmtId="0" fontId="2" fillId="3" borderId="3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</cellXfs>
  <cellStyles count="6">
    <cellStyle name="Comma 2" xfId="3" xr:uid="{927F8994-2CD4-4A2D-8F73-FC2384C1AF24}"/>
    <cellStyle name="Currency" xfId="1" builtinId="4"/>
    <cellStyle name="Currency 2" xfId="4" xr:uid="{F0F95EE8-F28E-4753-8CE9-EB9F90F35891}"/>
    <cellStyle name="Normal" xfId="0" builtinId="0"/>
    <cellStyle name="Percent" xfId="2" builtinId="5"/>
    <cellStyle name="Percent 2" xfId="5" xr:uid="{CDADD67D-9D84-460B-9EAE-EAB4EBC46517}"/>
  </cellStyles>
  <dxfs count="2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D3B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3096B96B-E5DA-4B8A-9B60-650987E7EFED}"/>
  <namedSheetView name="View2" id="{B638A305-5D50-4191-BE49-6A2CC92C8D92}"/>
  <namedSheetView name="View3" id="{85710428-D101-44F8-973C-9FE9EDE25139}"/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57C08-DBA7-4474-81D3-5BFCB29EBB39}">
  <dimension ref="A2:AF3"/>
  <sheetViews>
    <sheetView showGridLines="0" tabSelected="1" topLeftCell="S2" zoomScale="80" zoomScaleNormal="80" workbookViewId="0">
      <pane ySplit="1" topLeftCell="A3" activePane="bottomLeft" state="frozen"/>
      <selection activeCell="A2" sqref="A2"/>
      <selection pane="bottomLeft" activeCell="AF3" sqref="AF3"/>
    </sheetView>
  </sheetViews>
  <sheetFormatPr defaultColWidth="9.1796875" defaultRowHeight="15" customHeight="1" x14ac:dyDescent="0.35"/>
  <cols>
    <col min="1" max="1" width="9.1796875" style="1"/>
    <col min="2" max="2" width="9.1796875" style="8"/>
    <col min="3" max="3" width="12.6328125" style="8" bestFit="1" customWidth="1"/>
    <col min="4" max="4" width="10.54296875" style="8" bestFit="1" customWidth="1"/>
    <col min="5" max="5" width="13.81640625" style="8" bestFit="1" customWidth="1"/>
    <col min="6" max="6" width="17.26953125" style="8" bestFit="1" customWidth="1"/>
    <col min="7" max="7" width="18.7265625" style="8" bestFit="1" customWidth="1"/>
    <col min="8" max="9" width="18.7265625" style="8" customWidth="1"/>
    <col min="11" max="11" width="15.36328125" style="1" bestFit="1" customWidth="1"/>
    <col min="12" max="12" width="22.7265625" style="1" bestFit="1" customWidth="1"/>
    <col min="13" max="13" width="33.81640625" style="1" bestFit="1" customWidth="1"/>
    <col min="14" max="14" width="12.453125" style="25" bestFit="1" customWidth="1"/>
    <col min="15" max="15" width="17.26953125" style="1" bestFit="1" customWidth="1"/>
    <col min="16" max="16" width="17.6328125" style="25" bestFit="1" customWidth="1"/>
    <col min="17" max="17" width="22.453125" style="1" bestFit="1" customWidth="1"/>
    <col min="18" max="18" width="71.7265625" style="25" bestFit="1" customWidth="1"/>
    <col min="19" max="19" width="11.453125" style="2" bestFit="1" customWidth="1"/>
    <col min="20" max="20" width="9.1796875" style="25"/>
    <col min="21" max="21" width="9.1796875" style="1"/>
    <col min="22" max="22" width="9.1796875" style="25"/>
    <col min="23" max="23" width="9.1796875" style="1"/>
    <col min="24" max="24" width="9.1796875" style="25"/>
    <col min="25" max="16384" width="9.1796875" style="1"/>
  </cols>
  <sheetData>
    <row r="2" spans="1:32" ht="15" customHeight="1" x14ac:dyDescent="0.35">
      <c r="A2" s="26" t="s">
        <v>0</v>
      </c>
      <c r="B2" s="26" t="s">
        <v>1</v>
      </c>
      <c r="C2" s="26" t="s">
        <v>265</v>
      </c>
      <c r="D2" s="26" t="s">
        <v>250</v>
      </c>
      <c r="E2" s="26" t="s">
        <v>43</v>
      </c>
      <c r="F2" s="26" t="s">
        <v>44</v>
      </c>
      <c r="G2" s="26" t="s">
        <v>259</v>
      </c>
      <c r="H2" s="26" t="s">
        <v>266</v>
      </c>
      <c r="I2" s="26" t="s">
        <v>260</v>
      </c>
      <c r="K2" s="26" t="s">
        <v>260</v>
      </c>
      <c r="L2" s="26" t="s">
        <v>253</v>
      </c>
      <c r="M2" s="26" t="s">
        <v>254</v>
      </c>
      <c r="N2" s="26" t="s">
        <v>255</v>
      </c>
      <c r="O2" s="26" t="s">
        <v>256</v>
      </c>
      <c r="P2" s="26" t="s">
        <v>257</v>
      </c>
      <c r="Q2" s="26" t="s">
        <v>258</v>
      </c>
      <c r="R2" s="26" t="s">
        <v>251</v>
      </c>
      <c r="S2" s="26" t="s">
        <v>267</v>
      </c>
      <c r="T2" s="26" t="s">
        <v>268</v>
      </c>
      <c r="U2" s="26" t="s">
        <v>269</v>
      </c>
      <c r="V2" s="26" t="s">
        <v>270</v>
      </c>
      <c r="W2" s="26" t="s">
        <v>271</v>
      </c>
      <c r="X2" s="26" t="s">
        <v>252</v>
      </c>
      <c r="Y2" s="26" t="s">
        <v>272</v>
      </c>
      <c r="Z2" s="26" t="s">
        <v>273</v>
      </c>
      <c r="AA2" s="26" t="s">
        <v>274</v>
      </c>
      <c r="AB2" s="26" t="s">
        <v>275</v>
      </c>
      <c r="AC2" s="26" t="s">
        <v>276</v>
      </c>
      <c r="AD2" s="26" t="s">
        <v>277</v>
      </c>
    </row>
    <row r="3" spans="1:32" ht="15" customHeight="1" x14ac:dyDescent="0.35">
      <c r="A3" t="s">
        <v>278</v>
      </c>
      <c r="B3" t="s">
        <v>279</v>
      </c>
      <c r="C3"/>
      <c r="D3"/>
      <c r="E3" t="s">
        <v>261</v>
      </c>
      <c r="F3" t="s">
        <v>262</v>
      </c>
      <c r="G3">
        <v>49.02</v>
      </c>
      <c r="H3"/>
      <c r="I3" t="s">
        <v>264</v>
      </c>
      <c r="K3" t="s">
        <v>264</v>
      </c>
      <c r="L3"/>
      <c r="M3"/>
      <c r="N3"/>
      <c r="O3"/>
      <c r="P3"/>
      <c r="Q3"/>
      <c r="R3"/>
      <c r="S3"/>
      <c r="X3" t="s">
        <v>263</v>
      </c>
      <c r="AF3" s="1" t="s">
        <v>280</v>
      </c>
    </row>
  </sheetData>
  <phoneticPr fontId="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3D11B-B00A-4CF5-9E08-97E574F8A34C}">
  <sheetPr codeName="Sheet2"/>
  <dimension ref="A1:Y55"/>
  <sheetViews>
    <sheetView showGridLines="0" topLeftCell="A20" zoomScale="110" zoomScaleNormal="110" workbookViewId="0">
      <selection activeCell="E14" sqref="E14"/>
    </sheetView>
  </sheetViews>
  <sheetFormatPr defaultRowHeight="14.5" outlineLevelCol="1" x14ac:dyDescent="0.35"/>
  <cols>
    <col min="2" max="2" width="3.7265625" customWidth="1"/>
    <col min="3" max="3" width="9.453125" customWidth="1"/>
    <col min="4" max="4" width="7.54296875" customWidth="1"/>
    <col min="5" max="5" width="29.453125" customWidth="1"/>
    <col min="6" max="6" width="23.54296875" customWidth="1"/>
    <col min="7" max="7" width="10.54296875" customWidth="1"/>
    <col min="8" max="15" width="13.26953125" hidden="1" customWidth="1" outlineLevel="1"/>
    <col min="16" max="16" width="9.1796875" collapsed="1"/>
    <col min="19" max="19" width="10.453125" hidden="1" customWidth="1"/>
    <col min="20" max="20" width="11.54296875" hidden="1" customWidth="1"/>
    <col min="21" max="25" width="0" hidden="1" customWidth="1"/>
  </cols>
  <sheetData>
    <row r="1" spans="1:25" ht="24" x14ac:dyDescent="0.35">
      <c r="C1" s="9" t="s">
        <v>0</v>
      </c>
      <c r="D1" s="9" t="s">
        <v>1</v>
      </c>
      <c r="E1" s="9" t="s">
        <v>43</v>
      </c>
      <c r="F1" s="9" t="s">
        <v>44</v>
      </c>
      <c r="G1" s="9" t="s">
        <v>45</v>
      </c>
      <c r="H1" s="9" t="s">
        <v>46</v>
      </c>
      <c r="I1" s="9" t="s">
        <v>47</v>
      </c>
      <c r="J1" s="9" t="s">
        <v>48</v>
      </c>
      <c r="K1" s="9" t="s">
        <v>49</v>
      </c>
      <c r="L1" s="9" t="s">
        <v>50</v>
      </c>
      <c r="M1" s="9" t="s">
        <v>51</v>
      </c>
      <c r="N1" s="9" t="s">
        <v>52</v>
      </c>
      <c r="O1" s="9" t="s">
        <v>53</v>
      </c>
      <c r="P1" s="9" t="s">
        <v>54</v>
      </c>
      <c r="Q1" s="9" t="s">
        <v>55</v>
      </c>
    </row>
    <row r="2" spans="1:25" ht="31.5" x14ac:dyDescent="0.35">
      <c r="A2" s="27" t="s">
        <v>56</v>
      </c>
      <c r="B2" s="3">
        <v>1</v>
      </c>
      <c r="C2" s="3">
        <v>271505</v>
      </c>
      <c r="D2" s="4" t="s">
        <v>36</v>
      </c>
      <c r="E2" s="5" t="s">
        <v>57</v>
      </c>
      <c r="F2" s="3" t="s">
        <v>58</v>
      </c>
      <c r="G2" s="10">
        <v>67</v>
      </c>
      <c r="H2" s="3" t="s">
        <v>15</v>
      </c>
      <c r="I2" s="3"/>
      <c r="J2" s="3" t="s">
        <v>16</v>
      </c>
      <c r="K2" s="3"/>
      <c r="L2" s="3"/>
      <c r="M2" s="3"/>
      <c r="N2" s="3" t="s">
        <v>59</v>
      </c>
      <c r="O2" s="3"/>
      <c r="P2" s="3" t="s">
        <v>60</v>
      </c>
      <c r="Q2" s="3">
        <v>57.340200000000003</v>
      </c>
      <c r="S2" s="4"/>
      <c r="T2" s="4" t="s">
        <v>61</v>
      </c>
      <c r="U2" s="4" t="s">
        <v>62</v>
      </c>
    </row>
    <row r="3" spans="1:25" ht="21" x14ac:dyDescent="0.35">
      <c r="A3" s="27"/>
      <c r="B3" s="3">
        <v>2</v>
      </c>
      <c r="C3" s="3">
        <v>314023</v>
      </c>
      <c r="D3" s="4" t="s">
        <v>18</v>
      </c>
      <c r="E3" s="5" t="s">
        <v>63</v>
      </c>
      <c r="F3" s="3" t="s">
        <v>64</v>
      </c>
      <c r="G3" s="11">
        <v>53</v>
      </c>
      <c r="H3" s="3" t="s">
        <v>65</v>
      </c>
      <c r="I3" s="12" t="s">
        <v>66</v>
      </c>
      <c r="J3" s="12"/>
      <c r="K3" s="12"/>
      <c r="L3" s="3" t="s">
        <v>67</v>
      </c>
      <c r="M3" s="3" t="s">
        <v>68</v>
      </c>
      <c r="N3" s="12" t="s">
        <v>69</v>
      </c>
      <c r="O3" s="3" t="s">
        <v>70</v>
      </c>
      <c r="P3" s="3" t="s">
        <v>71</v>
      </c>
      <c r="Q3" s="3">
        <v>47.475000000000001</v>
      </c>
      <c r="S3" s="9" t="s">
        <v>72</v>
      </c>
      <c r="T3" s="4">
        <f>G8</f>
        <v>233.6</v>
      </c>
      <c r="U3" s="3">
        <v>6</v>
      </c>
    </row>
    <row r="4" spans="1:25" ht="21" x14ac:dyDescent="0.35">
      <c r="A4" s="27"/>
      <c r="B4" s="3">
        <v>3</v>
      </c>
      <c r="C4" s="3">
        <v>274038</v>
      </c>
      <c r="D4" s="4" t="s">
        <v>36</v>
      </c>
      <c r="E4" s="5" t="s">
        <v>73</v>
      </c>
      <c r="F4" s="3" t="s">
        <v>74</v>
      </c>
      <c r="G4" s="10">
        <v>50</v>
      </c>
      <c r="H4" s="3" t="s">
        <v>20</v>
      </c>
      <c r="I4" s="3"/>
      <c r="J4" s="3" t="s">
        <v>16</v>
      </c>
      <c r="K4" s="3"/>
      <c r="L4" s="3" t="s">
        <v>2</v>
      </c>
      <c r="M4" s="3"/>
      <c r="N4" s="3" t="s">
        <v>75</v>
      </c>
      <c r="O4" s="3"/>
      <c r="P4" s="3" t="s">
        <v>71</v>
      </c>
      <c r="Q4" s="3">
        <v>50</v>
      </c>
      <c r="S4" s="13" t="s">
        <v>76</v>
      </c>
      <c r="T4" s="4">
        <f>G21</f>
        <v>430.42</v>
      </c>
      <c r="U4" s="3">
        <v>10</v>
      </c>
      <c r="X4" t="s">
        <v>36</v>
      </c>
      <c r="Y4">
        <v>117</v>
      </c>
    </row>
    <row r="5" spans="1:25" ht="21" x14ac:dyDescent="0.35">
      <c r="A5" s="27"/>
      <c r="B5" s="3">
        <v>4</v>
      </c>
      <c r="C5" s="3">
        <v>300149</v>
      </c>
      <c r="D5" s="4" t="s">
        <v>18</v>
      </c>
      <c r="E5" s="5" t="s">
        <v>77</v>
      </c>
      <c r="F5" s="3" t="s">
        <v>78</v>
      </c>
      <c r="G5" s="6">
        <v>34.6</v>
      </c>
      <c r="H5" s="3" t="s">
        <v>65</v>
      </c>
      <c r="I5" s="3"/>
      <c r="J5" s="3"/>
      <c r="K5" s="3"/>
      <c r="L5" s="3"/>
      <c r="M5" s="3"/>
      <c r="N5" s="3" t="s">
        <v>79</v>
      </c>
      <c r="O5" s="3" t="s">
        <v>80</v>
      </c>
      <c r="P5" s="3" t="s">
        <v>71</v>
      </c>
      <c r="Q5" s="3">
        <v>30</v>
      </c>
      <c r="S5" s="4" t="s">
        <v>81</v>
      </c>
      <c r="T5" s="4">
        <f>SUM(T3:T4)</f>
        <v>664.02</v>
      </c>
      <c r="U5" s="3">
        <f>SUM(U3:U4)</f>
        <v>16</v>
      </c>
      <c r="X5" t="s">
        <v>18</v>
      </c>
      <c r="Y5">
        <v>87.6</v>
      </c>
    </row>
    <row r="6" spans="1:25" ht="21" x14ac:dyDescent="0.35">
      <c r="A6" s="27"/>
      <c r="B6" s="3">
        <v>5</v>
      </c>
      <c r="C6" s="3">
        <v>287391</v>
      </c>
      <c r="D6" s="4" t="s">
        <v>22</v>
      </c>
      <c r="E6" s="5" t="s">
        <v>82</v>
      </c>
      <c r="F6" s="3" t="s">
        <v>83</v>
      </c>
      <c r="G6" s="10">
        <v>24</v>
      </c>
      <c r="H6" s="3" t="s">
        <v>20</v>
      </c>
      <c r="I6" s="3" t="s">
        <v>84</v>
      </c>
      <c r="J6" s="3"/>
      <c r="K6" s="3"/>
      <c r="L6" s="3" t="s">
        <v>85</v>
      </c>
      <c r="M6" s="3" t="s">
        <v>86</v>
      </c>
      <c r="N6" s="3" t="s">
        <v>87</v>
      </c>
      <c r="O6" s="3" t="s">
        <v>8</v>
      </c>
      <c r="P6" s="3" t="s">
        <v>60</v>
      </c>
      <c r="Q6" s="3">
        <v>21.71</v>
      </c>
      <c r="S6" s="5" t="s">
        <v>88</v>
      </c>
      <c r="T6" s="14">
        <f>T3/T5</f>
        <v>0.35179663263154726</v>
      </c>
      <c r="U6" s="15">
        <f>U3/U5</f>
        <v>0.375</v>
      </c>
      <c r="X6" t="s">
        <v>89</v>
      </c>
      <c r="Y6">
        <v>29</v>
      </c>
    </row>
    <row r="7" spans="1:25" x14ac:dyDescent="0.35">
      <c r="A7" s="27"/>
      <c r="B7" s="3">
        <v>6</v>
      </c>
      <c r="C7" s="3" t="s">
        <v>90</v>
      </c>
      <c r="D7" s="4" t="s">
        <v>22</v>
      </c>
      <c r="E7" s="5" t="s">
        <v>91</v>
      </c>
      <c r="F7" s="3" t="s">
        <v>92</v>
      </c>
      <c r="G7" s="10">
        <v>5</v>
      </c>
      <c r="H7" s="3" t="s">
        <v>20</v>
      </c>
      <c r="I7" s="3" t="s">
        <v>93</v>
      </c>
      <c r="J7" s="3"/>
      <c r="K7" s="3"/>
      <c r="L7" s="3" t="s">
        <v>4</v>
      </c>
      <c r="M7" s="3"/>
      <c r="N7" s="3" t="s">
        <v>94</v>
      </c>
      <c r="O7" s="3" t="s">
        <v>95</v>
      </c>
      <c r="P7" s="3" t="s">
        <v>71</v>
      </c>
      <c r="Q7" s="3">
        <v>5</v>
      </c>
    </row>
    <row r="8" spans="1:25" ht="16" thickBot="1" x14ac:dyDescent="0.4">
      <c r="G8" s="16">
        <f>SUM(G2:G7)</f>
        <v>233.6</v>
      </c>
      <c r="Q8" s="17">
        <f>SUM(Q2:Q7)</f>
        <v>211.52520000000001</v>
      </c>
    </row>
    <row r="9" spans="1:25" ht="15" thickTop="1" x14ac:dyDescent="0.35">
      <c r="S9" s="18" t="s">
        <v>96</v>
      </c>
      <c r="T9" s="19">
        <f>G37</f>
        <v>601.1</v>
      </c>
      <c r="U9" s="3">
        <v>13</v>
      </c>
    </row>
    <row r="10" spans="1:25" ht="24" x14ac:dyDescent="0.35">
      <c r="C10" s="13" t="s">
        <v>0</v>
      </c>
      <c r="D10" s="13" t="s">
        <v>1</v>
      </c>
      <c r="E10" s="13" t="s">
        <v>43</v>
      </c>
      <c r="F10" s="13" t="s">
        <v>44</v>
      </c>
      <c r="G10" s="13" t="s">
        <v>45</v>
      </c>
      <c r="H10" s="13" t="s">
        <v>46</v>
      </c>
      <c r="I10" s="13" t="s">
        <v>47</v>
      </c>
      <c r="J10" s="13" t="s">
        <v>48</v>
      </c>
      <c r="K10" s="13" t="s">
        <v>49</v>
      </c>
      <c r="L10" s="13" t="s">
        <v>50</v>
      </c>
      <c r="M10" s="13" t="s">
        <v>51</v>
      </c>
      <c r="N10" s="13" t="s">
        <v>52</v>
      </c>
      <c r="O10" s="13" t="s">
        <v>53</v>
      </c>
      <c r="P10" s="13" t="s">
        <v>54</v>
      </c>
      <c r="Q10" s="13" t="s">
        <v>55</v>
      </c>
      <c r="S10" s="20" t="s">
        <v>97</v>
      </c>
      <c r="T10" s="19">
        <f>G54</f>
        <v>673.7165</v>
      </c>
      <c r="U10" s="3">
        <v>13</v>
      </c>
    </row>
    <row r="11" spans="1:25" ht="30" customHeight="1" x14ac:dyDescent="0.35">
      <c r="A11" s="28" t="s">
        <v>98</v>
      </c>
      <c r="B11" s="3">
        <v>1</v>
      </c>
      <c r="C11" s="3">
        <v>270937</v>
      </c>
      <c r="D11" s="4" t="s">
        <v>22</v>
      </c>
      <c r="E11" s="5" t="s">
        <v>23</v>
      </c>
      <c r="F11" s="3" t="s">
        <v>24</v>
      </c>
      <c r="G11" s="6">
        <v>25</v>
      </c>
      <c r="H11" s="3" t="s">
        <v>20</v>
      </c>
      <c r="I11" s="3" t="s">
        <v>93</v>
      </c>
      <c r="J11" s="3" t="s">
        <v>99</v>
      </c>
      <c r="K11" s="3"/>
      <c r="L11" s="3" t="s">
        <v>10</v>
      </c>
      <c r="M11" s="3"/>
      <c r="N11" s="3" t="s">
        <v>100</v>
      </c>
      <c r="O11" s="3" t="s">
        <v>14</v>
      </c>
      <c r="P11" s="3" t="s">
        <v>101</v>
      </c>
      <c r="Q11" s="3">
        <v>50</v>
      </c>
    </row>
    <row r="12" spans="1:25" ht="30" customHeight="1" x14ac:dyDescent="0.35">
      <c r="A12" s="29"/>
      <c r="B12" s="3">
        <v>2</v>
      </c>
      <c r="C12" s="3">
        <v>314869</v>
      </c>
      <c r="D12" s="4" t="s">
        <v>22</v>
      </c>
      <c r="E12" s="5" t="s">
        <v>25</v>
      </c>
      <c r="F12" s="3"/>
      <c r="G12" s="6">
        <v>13</v>
      </c>
      <c r="H12" s="3" t="s">
        <v>102</v>
      </c>
      <c r="I12" s="3"/>
      <c r="J12" s="3" t="s">
        <v>103</v>
      </c>
      <c r="K12" s="3"/>
      <c r="L12" s="3" t="s">
        <v>104</v>
      </c>
      <c r="M12" s="3"/>
      <c r="N12" s="3" t="s">
        <v>105</v>
      </c>
      <c r="O12" s="3" t="s">
        <v>106</v>
      </c>
      <c r="P12" s="3" t="s">
        <v>107</v>
      </c>
      <c r="Q12" s="3">
        <v>108</v>
      </c>
    </row>
    <row r="13" spans="1:25" ht="30" customHeight="1" x14ac:dyDescent="0.35">
      <c r="A13" s="29"/>
      <c r="B13" s="3">
        <v>3</v>
      </c>
      <c r="C13" s="3">
        <v>293836</v>
      </c>
      <c r="D13" s="4" t="s">
        <v>22</v>
      </c>
      <c r="E13" s="5" t="s">
        <v>26</v>
      </c>
      <c r="F13" s="3" t="s">
        <v>27</v>
      </c>
      <c r="G13" s="6">
        <v>70</v>
      </c>
      <c r="H13" s="3" t="s">
        <v>108</v>
      </c>
      <c r="I13" s="3"/>
      <c r="J13" s="3" t="s">
        <v>109</v>
      </c>
      <c r="K13" s="3"/>
      <c r="L13" s="3" t="s">
        <v>85</v>
      </c>
      <c r="M13" s="3" t="s">
        <v>110</v>
      </c>
      <c r="N13" s="3" t="s">
        <v>111</v>
      </c>
      <c r="O13" s="3" t="s">
        <v>112</v>
      </c>
      <c r="P13" s="3" t="s">
        <v>107</v>
      </c>
      <c r="Q13" s="3">
        <v>100</v>
      </c>
      <c r="S13" s="4" t="s">
        <v>113</v>
      </c>
      <c r="T13" s="19">
        <f>T3+T4+T9</f>
        <v>1265.1199999999999</v>
      </c>
    </row>
    <row r="14" spans="1:25" ht="30" customHeight="1" x14ac:dyDescent="0.35">
      <c r="A14" s="29"/>
      <c r="B14" s="3">
        <v>4</v>
      </c>
      <c r="C14" s="3">
        <v>250032</v>
      </c>
      <c r="D14" s="4" t="s">
        <v>5</v>
      </c>
      <c r="E14" s="5" t="s">
        <v>28</v>
      </c>
      <c r="F14" s="3" t="s">
        <v>29</v>
      </c>
      <c r="G14" s="6">
        <v>42</v>
      </c>
      <c r="H14" s="3" t="s">
        <v>6</v>
      </c>
      <c r="I14" s="3" t="s">
        <v>114</v>
      </c>
      <c r="J14" s="3"/>
      <c r="K14" s="3" t="s">
        <v>115</v>
      </c>
      <c r="L14" s="3" t="s">
        <v>17</v>
      </c>
      <c r="M14" s="3" t="s">
        <v>116</v>
      </c>
      <c r="N14" s="3" t="s">
        <v>117</v>
      </c>
      <c r="O14" s="3" t="s">
        <v>118</v>
      </c>
      <c r="P14" s="3" t="s">
        <v>107</v>
      </c>
      <c r="Q14" s="3">
        <v>80</v>
      </c>
      <c r="S14" s="4" t="s">
        <v>119</v>
      </c>
      <c r="T14" s="21">
        <f>T3/T13</f>
        <v>0.18464651574554194</v>
      </c>
    </row>
    <row r="15" spans="1:25" ht="30" customHeight="1" x14ac:dyDescent="0.35">
      <c r="A15" s="29"/>
      <c r="B15" s="3">
        <v>5</v>
      </c>
      <c r="C15" s="3">
        <v>301990</v>
      </c>
      <c r="D15" s="4" t="s">
        <v>22</v>
      </c>
      <c r="E15" s="5" t="s">
        <v>30</v>
      </c>
      <c r="F15" s="3" t="s">
        <v>31</v>
      </c>
      <c r="G15" s="6">
        <v>45</v>
      </c>
      <c r="H15" s="3" t="s">
        <v>120</v>
      </c>
      <c r="I15" s="3"/>
      <c r="J15" s="3" t="s">
        <v>121</v>
      </c>
      <c r="K15" s="3"/>
      <c r="L15" s="3" t="s">
        <v>19</v>
      </c>
      <c r="M15" s="3"/>
      <c r="N15" s="3" t="s">
        <v>122</v>
      </c>
      <c r="O15" s="3" t="s">
        <v>123</v>
      </c>
      <c r="P15" s="3" t="s">
        <v>124</v>
      </c>
      <c r="Q15" s="3">
        <v>61.086500000000001</v>
      </c>
    </row>
    <row r="16" spans="1:25" ht="30" customHeight="1" x14ac:dyDescent="0.35">
      <c r="A16" s="29"/>
      <c r="B16" s="3">
        <v>6</v>
      </c>
      <c r="C16" s="3">
        <v>292878</v>
      </c>
      <c r="D16" s="4" t="s">
        <v>22</v>
      </c>
      <c r="E16" s="5" t="s">
        <v>32</v>
      </c>
      <c r="F16" s="3" t="s">
        <v>33</v>
      </c>
      <c r="G16" s="6">
        <v>35.130000000000003</v>
      </c>
      <c r="H16" s="3" t="s">
        <v>125</v>
      </c>
      <c r="I16" s="3" t="s">
        <v>66</v>
      </c>
      <c r="J16" s="3"/>
      <c r="K16" s="3"/>
      <c r="L16" s="3" t="s">
        <v>19</v>
      </c>
      <c r="M16" s="3"/>
      <c r="N16" s="3" t="s">
        <v>126</v>
      </c>
      <c r="O16" s="3" t="s">
        <v>95</v>
      </c>
      <c r="P16" s="3" t="s">
        <v>101</v>
      </c>
      <c r="Q16" s="3">
        <v>62.693899999999999</v>
      </c>
    </row>
    <row r="17" spans="1:17" ht="30" customHeight="1" x14ac:dyDescent="0.35">
      <c r="A17" s="29"/>
      <c r="B17" s="3">
        <v>7</v>
      </c>
      <c r="C17" s="7">
        <v>298012</v>
      </c>
      <c r="D17" s="4" t="s">
        <v>5</v>
      </c>
      <c r="E17" s="5" t="s">
        <v>34</v>
      </c>
      <c r="F17" s="3" t="s">
        <v>35</v>
      </c>
      <c r="G17" s="6">
        <v>70.290000000000006</v>
      </c>
      <c r="H17" s="3" t="s">
        <v>6</v>
      </c>
      <c r="I17" s="3" t="s">
        <v>127</v>
      </c>
      <c r="J17" s="3"/>
      <c r="K17" s="3"/>
      <c r="L17" s="3" t="s">
        <v>128</v>
      </c>
      <c r="M17" s="3"/>
      <c r="N17" s="3" t="s">
        <v>129</v>
      </c>
      <c r="O17" s="3" t="s">
        <v>130</v>
      </c>
      <c r="P17" s="3" t="s">
        <v>124</v>
      </c>
      <c r="Q17" s="3">
        <v>70.290000000000006</v>
      </c>
    </row>
    <row r="18" spans="1:17" ht="30" customHeight="1" x14ac:dyDescent="0.35">
      <c r="A18" s="29"/>
      <c r="B18" s="3">
        <v>8</v>
      </c>
      <c r="C18" s="3">
        <v>255430</v>
      </c>
      <c r="D18" s="4" t="s">
        <v>36</v>
      </c>
      <c r="E18" s="5" t="s">
        <v>37</v>
      </c>
      <c r="F18" s="3" t="s">
        <v>38</v>
      </c>
      <c r="G18" s="6">
        <v>80</v>
      </c>
      <c r="H18" s="3" t="s">
        <v>108</v>
      </c>
      <c r="I18" s="3"/>
      <c r="J18" s="3" t="s">
        <v>16</v>
      </c>
      <c r="K18" s="3"/>
      <c r="L18" s="3" t="s">
        <v>19</v>
      </c>
      <c r="M18" s="3"/>
      <c r="N18" s="3" t="s">
        <v>131</v>
      </c>
      <c r="O18" s="3" t="s">
        <v>21</v>
      </c>
      <c r="P18" s="3" t="s">
        <v>132</v>
      </c>
      <c r="Q18" s="3">
        <v>80</v>
      </c>
    </row>
    <row r="19" spans="1:17" ht="30" customHeight="1" x14ac:dyDescent="0.35">
      <c r="A19" s="29"/>
      <c r="B19" s="3">
        <v>9</v>
      </c>
      <c r="C19" s="3">
        <v>292512</v>
      </c>
      <c r="D19" s="4" t="s">
        <v>36</v>
      </c>
      <c r="E19" s="5" t="s">
        <v>39</v>
      </c>
      <c r="F19" s="3" t="s">
        <v>40</v>
      </c>
      <c r="G19" s="6">
        <v>25</v>
      </c>
      <c r="H19" s="3" t="s">
        <v>15</v>
      </c>
      <c r="I19" s="3"/>
      <c r="J19" s="3" t="s">
        <v>16</v>
      </c>
      <c r="K19" s="3"/>
      <c r="L19" s="3" t="s">
        <v>19</v>
      </c>
      <c r="M19" s="3"/>
      <c r="N19" s="3" t="s">
        <v>133</v>
      </c>
      <c r="O19" s="3" t="s">
        <v>21</v>
      </c>
      <c r="P19" s="3" t="s">
        <v>124</v>
      </c>
      <c r="Q19" s="3">
        <v>93.3</v>
      </c>
    </row>
    <row r="20" spans="1:17" ht="30" customHeight="1" x14ac:dyDescent="0.35">
      <c r="A20" s="29"/>
      <c r="B20" s="3">
        <v>10</v>
      </c>
      <c r="C20" s="8">
        <v>245938</v>
      </c>
      <c r="D20" s="4" t="s">
        <v>22</v>
      </c>
      <c r="E20" s="5" t="s">
        <v>41</v>
      </c>
      <c r="F20" s="3" t="s">
        <v>42</v>
      </c>
      <c r="G20" s="6">
        <v>25</v>
      </c>
      <c r="H20" s="3" t="s">
        <v>20</v>
      </c>
      <c r="I20" s="3"/>
      <c r="J20" s="3"/>
      <c r="K20" s="3"/>
      <c r="L20" s="3" t="s">
        <v>4</v>
      </c>
      <c r="M20" s="3"/>
      <c r="N20" s="3" t="s">
        <v>134</v>
      </c>
      <c r="O20" s="3" t="s">
        <v>135</v>
      </c>
      <c r="P20" s="3" t="s">
        <v>124</v>
      </c>
      <c r="Q20" s="3">
        <v>46.8</v>
      </c>
    </row>
    <row r="21" spans="1:17" ht="15" thickBot="1" x14ac:dyDescent="0.4">
      <c r="G21" s="22">
        <f>SUM(G11:G20)</f>
        <v>430.42</v>
      </c>
      <c r="Q21" s="23">
        <f>SUM(Q11:Q20)</f>
        <v>752.17039999999986</v>
      </c>
    </row>
    <row r="22" spans="1:17" ht="15" thickTop="1" x14ac:dyDescent="0.35"/>
    <row r="23" spans="1:17" ht="24" x14ac:dyDescent="0.35">
      <c r="C23" s="18" t="s">
        <v>0</v>
      </c>
      <c r="D23" s="18" t="s">
        <v>1</v>
      </c>
      <c r="E23" s="18" t="s">
        <v>43</v>
      </c>
      <c r="F23" s="18" t="s">
        <v>44</v>
      </c>
      <c r="G23" s="18" t="s">
        <v>45</v>
      </c>
      <c r="H23" s="18" t="s">
        <v>46</v>
      </c>
      <c r="I23" s="18" t="s">
        <v>47</v>
      </c>
      <c r="J23" s="18" t="s">
        <v>48</v>
      </c>
      <c r="K23" s="18" t="s">
        <v>49</v>
      </c>
      <c r="L23" s="18" t="s">
        <v>50</v>
      </c>
      <c r="M23" s="18" t="s">
        <v>51</v>
      </c>
      <c r="N23" s="18" t="s">
        <v>52</v>
      </c>
      <c r="O23" s="18" t="s">
        <v>53</v>
      </c>
    </row>
    <row r="24" spans="1:17" ht="29" x14ac:dyDescent="0.35">
      <c r="A24" s="30" t="s">
        <v>136</v>
      </c>
      <c r="B24" s="3">
        <v>1</v>
      </c>
      <c r="C24" s="3">
        <v>298278</v>
      </c>
      <c r="D24" s="4" t="s">
        <v>18</v>
      </c>
      <c r="E24" s="5" t="s">
        <v>137</v>
      </c>
      <c r="F24" s="3" t="s">
        <v>138</v>
      </c>
      <c r="G24" s="6">
        <v>82.5</v>
      </c>
      <c r="H24" s="3" t="s">
        <v>65</v>
      </c>
      <c r="I24" s="3" t="s">
        <v>139</v>
      </c>
      <c r="J24" s="3"/>
      <c r="K24" s="3"/>
      <c r="L24" s="3" t="s">
        <v>140</v>
      </c>
      <c r="M24" s="3"/>
      <c r="N24" s="3" t="s">
        <v>141</v>
      </c>
      <c r="O24" s="3" t="s">
        <v>142</v>
      </c>
    </row>
    <row r="25" spans="1:17" ht="29" x14ac:dyDescent="0.35">
      <c r="A25" s="31"/>
      <c r="B25" s="3">
        <v>2</v>
      </c>
      <c r="C25" s="3">
        <v>287766</v>
      </c>
      <c r="D25" s="4" t="s">
        <v>143</v>
      </c>
      <c r="E25" s="5" t="s">
        <v>144</v>
      </c>
      <c r="F25" s="3" t="s">
        <v>145</v>
      </c>
      <c r="G25" s="6">
        <v>34</v>
      </c>
      <c r="H25" s="3" t="s">
        <v>146</v>
      </c>
      <c r="I25" s="3"/>
      <c r="J25" s="3"/>
      <c r="K25" s="3"/>
      <c r="L25" s="3" t="s">
        <v>104</v>
      </c>
      <c r="M25" s="3"/>
      <c r="N25" s="3" t="s">
        <v>147</v>
      </c>
      <c r="O25" s="3" t="s">
        <v>148</v>
      </c>
    </row>
    <row r="26" spans="1:17" ht="29" x14ac:dyDescent="0.35">
      <c r="A26" s="31"/>
      <c r="B26" s="3">
        <v>3</v>
      </c>
      <c r="C26" s="3">
        <v>260282</v>
      </c>
      <c r="D26" s="4" t="s">
        <v>143</v>
      </c>
      <c r="E26" s="5" t="s">
        <v>149</v>
      </c>
      <c r="F26" s="3" t="s">
        <v>150</v>
      </c>
      <c r="G26" s="6">
        <v>100</v>
      </c>
      <c r="H26" s="3" t="s">
        <v>15</v>
      </c>
      <c r="I26" s="3"/>
      <c r="J26" s="3" t="s">
        <v>103</v>
      </c>
      <c r="K26" s="3"/>
      <c r="L26" s="3" t="s">
        <v>104</v>
      </c>
      <c r="M26" s="3"/>
      <c r="N26" s="3" t="s">
        <v>151</v>
      </c>
      <c r="O26" s="3" t="s">
        <v>152</v>
      </c>
    </row>
    <row r="27" spans="1:17" x14ac:dyDescent="0.35">
      <c r="A27" s="31"/>
      <c r="B27" s="3">
        <v>4</v>
      </c>
      <c r="C27" s="3">
        <v>270807</v>
      </c>
      <c r="D27" s="4" t="s">
        <v>3</v>
      </c>
      <c r="E27" s="5" t="s">
        <v>153</v>
      </c>
      <c r="F27" s="3" t="s">
        <v>154</v>
      </c>
      <c r="G27" s="6">
        <v>140</v>
      </c>
      <c r="H27" s="3" t="s">
        <v>108</v>
      </c>
      <c r="I27" s="3"/>
      <c r="J27" s="3"/>
      <c r="K27" s="3"/>
      <c r="L27" s="3" t="s">
        <v>104</v>
      </c>
      <c r="M27" s="3"/>
      <c r="N27" s="3" t="s">
        <v>155</v>
      </c>
      <c r="O27" s="3" t="s">
        <v>156</v>
      </c>
    </row>
    <row r="28" spans="1:17" ht="21" x14ac:dyDescent="0.35">
      <c r="A28" s="31"/>
      <c r="B28" s="3">
        <v>5</v>
      </c>
      <c r="C28" s="3">
        <v>275069</v>
      </c>
      <c r="D28" s="4" t="s">
        <v>36</v>
      </c>
      <c r="E28" s="5" t="s">
        <v>157</v>
      </c>
      <c r="F28" s="3" t="s">
        <v>158</v>
      </c>
      <c r="G28" s="6">
        <v>5</v>
      </c>
      <c r="H28" s="3" t="s">
        <v>15</v>
      </c>
      <c r="I28" s="3" t="s">
        <v>159</v>
      </c>
      <c r="J28" s="3"/>
      <c r="K28" s="3"/>
      <c r="L28" s="3" t="s">
        <v>160</v>
      </c>
      <c r="M28" s="3"/>
      <c r="N28" s="3" t="s">
        <v>161</v>
      </c>
      <c r="O28" s="3" t="s">
        <v>162</v>
      </c>
    </row>
    <row r="29" spans="1:17" x14ac:dyDescent="0.35">
      <c r="A29" s="31"/>
      <c r="B29" s="3">
        <v>6</v>
      </c>
      <c r="C29" s="3">
        <v>249728</v>
      </c>
      <c r="D29" s="4" t="s">
        <v>22</v>
      </c>
      <c r="E29" s="5" t="s">
        <v>163</v>
      </c>
      <c r="F29" s="3" t="s">
        <v>164</v>
      </c>
      <c r="G29" s="6">
        <v>50</v>
      </c>
      <c r="H29" s="3" t="s">
        <v>20</v>
      </c>
      <c r="I29" s="3"/>
      <c r="J29" s="3"/>
      <c r="K29" s="3"/>
      <c r="L29" s="3" t="s">
        <v>104</v>
      </c>
      <c r="M29" s="3"/>
      <c r="N29" s="3" t="s">
        <v>13</v>
      </c>
      <c r="O29" s="3">
        <v>0</v>
      </c>
    </row>
    <row r="30" spans="1:17" x14ac:dyDescent="0.35">
      <c r="A30" s="31"/>
      <c r="B30" s="3">
        <v>7</v>
      </c>
      <c r="C30" s="8">
        <v>264866</v>
      </c>
      <c r="D30" s="4" t="s">
        <v>22</v>
      </c>
      <c r="E30" s="5" t="s">
        <v>165</v>
      </c>
      <c r="F30" s="3" t="s">
        <v>166</v>
      </c>
      <c r="G30" s="6">
        <v>33</v>
      </c>
      <c r="H30" s="3" t="s">
        <v>108</v>
      </c>
      <c r="I30" s="3"/>
      <c r="J30" s="3"/>
      <c r="K30" s="3"/>
      <c r="L30" s="3" t="s">
        <v>19</v>
      </c>
      <c r="M30" s="3"/>
      <c r="N30" s="3" t="s">
        <v>167</v>
      </c>
      <c r="O30" s="3" t="s">
        <v>7</v>
      </c>
    </row>
    <row r="31" spans="1:17" x14ac:dyDescent="0.35">
      <c r="A31" s="31"/>
      <c r="B31" s="3">
        <v>8</v>
      </c>
      <c r="C31" s="8">
        <v>293672</v>
      </c>
      <c r="D31" s="4" t="s">
        <v>22</v>
      </c>
      <c r="E31" s="5" t="s">
        <v>168</v>
      </c>
      <c r="F31" s="3" t="s">
        <v>169</v>
      </c>
      <c r="G31" s="6">
        <v>10</v>
      </c>
      <c r="H31" s="3" t="s">
        <v>20</v>
      </c>
      <c r="I31" s="3"/>
      <c r="J31" s="3"/>
      <c r="K31" s="3"/>
      <c r="L31" s="3" t="s">
        <v>104</v>
      </c>
      <c r="M31" s="3"/>
      <c r="N31" s="3" t="s">
        <v>170</v>
      </c>
      <c r="O31" s="3" t="s">
        <v>171</v>
      </c>
    </row>
    <row r="32" spans="1:17" ht="29" x14ac:dyDescent="0.35">
      <c r="A32" s="31"/>
      <c r="B32" s="3">
        <v>9</v>
      </c>
      <c r="C32" s="8">
        <v>287121</v>
      </c>
      <c r="D32" s="4" t="s">
        <v>36</v>
      </c>
      <c r="E32" s="5" t="s">
        <v>172</v>
      </c>
      <c r="F32" s="3" t="s">
        <v>173</v>
      </c>
      <c r="G32" s="6">
        <v>38.6</v>
      </c>
      <c r="H32" s="3" t="s">
        <v>20</v>
      </c>
      <c r="I32" s="3"/>
      <c r="J32" s="3" t="s">
        <v>16</v>
      </c>
      <c r="K32" s="3"/>
      <c r="L32" s="3" t="s">
        <v>104</v>
      </c>
      <c r="M32" s="3"/>
      <c r="N32" s="3" t="s">
        <v>75</v>
      </c>
      <c r="O32" s="3">
        <v>0</v>
      </c>
    </row>
    <row r="33" spans="1:15" ht="21" x14ac:dyDescent="0.35">
      <c r="A33" s="31"/>
      <c r="B33" s="3">
        <v>10</v>
      </c>
      <c r="C33" s="8">
        <v>301060</v>
      </c>
      <c r="D33" s="4" t="s">
        <v>22</v>
      </c>
      <c r="E33" s="5" t="s">
        <v>174</v>
      </c>
      <c r="F33" s="3" t="s">
        <v>175</v>
      </c>
      <c r="G33" s="6">
        <v>25</v>
      </c>
      <c r="H33" s="3" t="s">
        <v>176</v>
      </c>
      <c r="I33" s="3"/>
      <c r="J33" s="3" t="s">
        <v>177</v>
      </c>
      <c r="K33" s="3"/>
      <c r="L33" s="3" t="s">
        <v>10</v>
      </c>
      <c r="M33" s="3"/>
      <c r="N33" s="3" t="s">
        <v>178</v>
      </c>
      <c r="O33" s="3" t="s">
        <v>179</v>
      </c>
    </row>
    <row r="34" spans="1:15" x14ac:dyDescent="0.35">
      <c r="A34" s="31"/>
      <c r="B34" s="3">
        <v>11</v>
      </c>
      <c r="C34" s="8">
        <v>287606</v>
      </c>
      <c r="D34" s="4" t="s">
        <v>18</v>
      </c>
      <c r="E34" s="5" t="s">
        <v>180</v>
      </c>
      <c r="F34" s="3" t="s">
        <v>181</v>
      </c>
      <c r="G34" s="6">
        <v>50</v>
      </c>
      <c r="H34" s="3" t="s">
        <v>15</v>
      </c>
      <c r="I34" s="3" t="s">
        <v>182</v>
      </c>
      <c r="J34" s="3"/>
      <c r="K34" s="3"/>
      <c r="L34" s="3" t="s">
        <v>104</v>
      </c>
      <c r="M34" s="3"/>
      <c r="N34" s="3" t="s">
        <v>183</v>
      </c>
      <c r="O34" s="3" t="s">
        <v>184</v>
      </c>
    </row>
    <row r="35" spans="1:15" x14ac:dyDescent="0.35">
      <c r="A35" s="31"/>
      <c r="B35" s="3">
        <v>12</v>
      </c>
      <c r="C35" s="8">
        <v>298157</v>
      </c>
      <c r="D35" s="4" t="s">
        <v>22</v>
      </c>
      <c r="E35" s="5" t="s">
        <v>185</v>
      </c>
      <c r="F35" s="3" t="s">
        <v>186</v>
      </c>
      <c r="G35" s="6">
        <v>10</v>
      </c>
      <c r="H35" s="3" t="s">
        <v>187</v>
      </c>
      <c r="I35" s="3"/>
      <c r="J35" s="3" t="s">
        <v>188</v>
      </c>
      <c r="K35" s="3"/>
      <c r="L35" s="3" t="s">
        <v>10</v>
      </c>
      <c r="M35" s="3" t="s">
        <v>110</v>
      </c>
      <c r="N35" s="3" t="s">
        <v>167</v>
      </c>
      <c r="O35" s="3" t="s">
        <v>112</v>
      </c>
    </row>
    <row r="36" spans="1:15" ht="29" x14ac:dyDescent="0.35">
      <c r="A36" s="31"/>
      <c r="B36" s="3">
        <v>13</v>
      </c>
      <c r="C36" s="8">
        <v>275802</v>
      </c>
      <c r="D36" s="4" t="s">
        <v>18</v>
      </c>
      <c r="E36" s="24" t="s">
        <v>189</v>
      </c>
      <c r="F36" s="3" t="s">
        <v>190</v>
      </c>
      <c r="G36" s="6">
        <v>23</v>
      </c>
      <c r="H36" s="3" t="s">
        <v>65</v>
      </c>
      <c r="I36" s="3"/>
      <c r="J36" s="3"/>
      <c r="K36" s="3"/>
      <c r="L36" s="3" t="s">
        <v>191</v>
      </c>
      <c r="M36" s="3"/>
      <c r="N36" s="3" t="s">
        <v>192</v>
      </c>
      <c r="O36" s="3">
        <v>0</v>
      </c>
    </row>
    <row r="37" spans="1:15" ht="15" thickBot="1" x14ac:dyDescent="0.4">
      <c r="G37" s="22">
        <f>SUM(G24:G36)</f>
        <v>601.1</v>
      </c>
    </row>
    <row r="38" spans="1:15" ht="15" thickTop="1" x14ac:dyDescent="0.35"/>
    <row r="40" spans="1:15" ht="24" x14ac:dyDescent="0.35">
      <c r="C40" s="20" t="s">
        <v>0</v>
      </c>
      <c r="D40" s="20" t="s">
        <v>1</v>
      </c>
      <c r="E40" s="20" t="s">
        <v>43</v>
      </c>
      <c r="F40" s="20" t="s">
        <v>44</v>
      </c>
      <c r="G40" s="20" t="s">
        <v>45</v>
      </c>
      <c r="H40" s="20" t="s">
        <v>46</v>
      </c>
      <c r="I40" s="20" t="s">
        <v>47</v>
      </c>
      <c r="J40" s="20" t="s">
        <v>48</v>
      </c>
      <c r="K40" s="20" t="s">
        <v>49</v>
      </c>
      <c r="L40" s="20" t="s">
        <v>50</v>
      </c>
      <c r="M40" s="20" t="s">
        <v>51</v>
      </c>
      <c r="N40" s="20" t="s">
        <v>52</v>
      </c>
      <c r="O40" s="20" t="s">
        <v>53</v>
      </c>
    </row>
    <row r="41" spans="1:15" ht="36" customHeight="1" x14ac:dyDescent="0.35">
      <c r="A41" s="32" t="s">
        <v>193</v>
      </c>
      <c r="B41" s="3">
        <v>1</v>
      </c>
      <c r="C41" s="3">
        <v>276004</v>
      </c>
      <c r="D41" s="4" t="s">
        <v>18</v>
      </c>
      <c r="E41" s="5" t="s">
        <v>77</v>
      </c>
      <c r="F41" s="3" t="s">
        <v>194</v>
      </c>
      <c r="G41" s="10">
        <v>160</v>
      </c>
      <c r="H41" s="3" t="s">
        <v>65</v>
      </c>
      <c r="I41" s="3"/>
      <c r="J41" s="3"/>
      <c r="K41" s="3"/>
      <c r="L41" s="3" t="s">
        <v>104</v>
      </c>
      <c r="M41" s="3"/>
      <c r="N41" s="3" t="s">
        <v>79</v>
      </c>
      <c r="O41" s="3" t="s">
        <v>80</v>
      </c>
    </row>
    <row r="42" spans="1:15" ht="29" x14ac:dyDescent="0.35">
      <c r="A42" s="33"/>
      <c r="B42" s="3">
        <v>2</v>
      </c>
      <c r="C42" s="3">
        <v>294068</v>
      </c>
      <c r="D42" s="4" t="s">
        <v>143</v>
      </c>
      <c r="E42" s="5" t="s">
        <v>195</v>
      </c>
      <c r="F42" s="3" t="s">
        <v>196</v>
      </c>
      <c r="G42" s="10">
        <v>15</v>
      </c>
      <c r="H42" s="3" t="s">
        <v>146</v>
      </c>
      <c r="I42" s="3" t="s">
        <v>197</v>
      </c>
      <c r="J42" s="3"/>
      <c r="K42" s="3"/>
      <c r="L42" s="3" t="s">
        <v>104</v>
      </c>
      <c r="M42" s="3"/>
      <c r="N42" s="3" t="s">
        <v>198</v>
      </c>
      <c r="O42" s="3" t="s">
        <v>199</v>
      </c>
    </row>
    <row r="43" spans="1:15" ht="21" x14ac:dyDescent="0.35">
      <c r="A43" s="33"/>
      <c r="B43" s="3">
        <v>3</v>
      </c>
      <c r="C43" s="3" t="s">
        <v>200</v>
      </c>
      <c r="D43" s="4" t="s">
        <v>22</v>
      </c>
      <c r="E43" s="5" t="s">
        <v>201</v>
      </c>
      <c r="F43" s="3" t="s">
        <v>202</v>
      </c>
      <c r="G43" s="10"/>
      <c r="H43" s="3" t="s">
        <v>20</v>
      </c>
      <c r="I43" s="3" t="s">
        <v>93</v>
      </c>
      <c r="J43" s="3" t="s">
        <v>203</v>
      </c>
      <c r="K43" s="3"/>
      <c r="L43" s="3" t="s">
        <v>104</v>
      </c>
      <c r="M43" s="3"/>
      <c r="N43" s="3" t="s">
        <v>204</v>
      </c>
      <c r="O43" s="3" t="e">
        <v>#N/A</v>
      </c>
    </row>
    <row r="44" spans="1:15" ht="21" x14ac:dyDescent="0.35">
      <c r="A44" s="33"/>
      <c r="B44" s="3">
        <v>4</v>
      </c>
      <c r="C44" s="3">
        <v>246421</v>
      </c>
      <c r="D44" s="4" t="s">
        <v>22</v>
      </c>
      <c r="E44" s="5" t="s">
        <v>205</v>
      </c>
      <c r="F44" s="3" t="s">
        <v>206</v>
      </c>
      <c r="G44" s="10">
        <v>40</v>
      </c>
      <c r="H44" s="3" t="s">
        <v>108</v>
      </c>
      <c r="I44" s="3"/>
      <c r="J44" s="3"/>
      <c r="K44" s="3"/>
      <c r="L44" s="3" t="s">
        <v>4</v>
      </c>
      <c r="M44" s="3"/>
      <c r="N44" s="3" t="s">
        <v>207</v>
      </c>
      <c r="O44" s="3" t="s">
        <v>208</v>
      </c>
    </row>
    <row r="45" spans="1:15" ht="29" x14ac:dyDescent="0.35">
      <c r="A45" s="33"/>
      <c r="B45" s="3">
        <v>5</v>
      </c>
      <c r="C45" s="3">
        <v>263742</v>
      </c>
      <c r="D45" s="4" t="s">
        <v>36</v>
      </c>
      <c r="E45" s="5" t="s">
        <v>209</v>
      </c>
      <c r="F45" s="3" t="s">
        <v>210</v>
      </c>
      <c r="G45" s="10">
        <v>70</v>
      </c>
      <c r="H45" s="3" t="s">
        <v>65</v>
      </c>
      <c r="I45" s="3"/>
      <c r="J45" s="3"/>
      <c r="K45" s="3" t="s">
        <v>211</v>
      </c>
      <c r="L45" s="3" t="s">
        <v>104</v>
      </c>
      <c r="M45" s="3"/>
      <c r="N45" s="3" t="s">
        <v>212</v>
      </c>
      <c r="O45" s="3" t="s">
        <v>118</v>
      </c>
    </row>
    <row r="46" spans="1:15" ht="31.5" x14ac:dyDescent="0.35">
      <c r="A46" s="33"/>
      <c r="B46" s="3">
        <v>6</v>
      </c>
      <c r="C46" s="8">
        <v>176533</v>
      </c>
      <c r="D46" s="4" t="s">
        <v>18</v>
      </c>
      <c r="E46" s="5" t="s">
        <v>213</v>
      </c>
      <c r="F46" s="3" t="s">
        <v>214</v>
      </c>
      <c r="G46" s="10">
        <v>50</v>
      </c>
      <c r="H46" s="3" t="s">
        <v>215</v>
      </c>
      <c r="I46" s="3"/>
      <c r="J46" s="3"/>
      <c r="K46" s="3"/>
      <c r="L46" s="3" t="s">
        <v>104</v>
      </c>
      <c r="M46" s="3"/>
      <c r="N46" s="3" t="s">
        <v>216</v>
      </c>
      <c r="O46" s="3" t="s">
        <v>217</v>
      </c>
    </row>
    <row r="47" spans="1:15" x14ac:dyDescent="0.35">
      <c r="A47" s="33"/>
      <c r="B47" s="3">
        <v>7</v>
      </c>
      <c r="C47" s="8">
        <v>215511</v>
      </c>
      <c r="D47" s="4" t="s">
        <v>18</v>
      </c>
      <c r="E47" s="5" t="s">
        <v>218</v>
      </c>
      <c r="F47" s="3" t="s">
        <v>219</v>
      </c>
      <c r="G47" s="10">
        <v>40.066499999999998</v>
      </c>
      <c r="H47" s="3" t="s">
        <v>9</v>
      </c>
      <c r="I47" s="3" t="s">
        <v>220</v>
      </c>
      <c r="J47" s="3"/>
      <c r="K47" s="3"/>
      <c r="L47" s="3" t="s">
        <v>104</v>
      </c>
      <c r="M47" s="3"/>
      <c r="N47" s="3" t="s">
        <v>221</v>
      </c>
      <c r="O47" s="3" t="s">
        <v>222</v>
      </c>
    </row>
    <row r="48" spans="1:15" x14ac:dyDescent="0.35">
      <c r="A48" s="33"/>
      <c r="B48" s="3">
        <v>8</v>
      </c>
      <c r="C48" s="8">
        <v>292537</v>
      </c>
      <c r="D48" s="4" t="s">
        <v>18</v>
      </c>
      <c r="E48" s="5" t="s">
        <v>223</v>
      </c>
      <c r="F48" s="3" t="s">
        <v>224</v>
      </c>
      <c r="G48" s="10">
        <v>55</v>
      </c>
      <c r="H48" s="3" t="s">
        <v>15</v>
      </c>
      <c r="I48" s="3"/>
      <c r="J48" s="3"/>
      <c r="K48" s="3"/>
      <c r="L48" s="3" t="s">
        <v>104</v>
      </c>
      <c r="M48" s="3"/>
      <c r="N48" s="3" t="s">
        <v>225</v>
      </c>
      <c r="O48" s="3" t="s">
        <v>226</v>
      </c>
    </row>
    <row r="49" spans="1:15" ht="31.5" x14ac:dyDescent="0.35">
      <c r="A49" s="33"/>
      <c r="B49" s="3">
        <v>9</v>
      </c>
      <c r="C49" s="8">
        <v>312443</v>
      </c>
      <c r="D49" s="4" t="s">
        <v>5</v>
      </c>
      <c r="E49" s="5" t="s">
        <v>227</v>
      </c>
      <c r="F49" s="3" t="s">
        <v>228</v>
      </c>
      <c r="G49" s="5">
        <v>36</v>
      </c>
      <c r="H49" s="3" t="s">
        <v>120</v>
      </c>
      <c r="I49" s="3" t="s">
        <v>229</v>
      </c>
      <c r="J49" s="3"/>
      <c r="K49" s="3" t="s">
        <v>230</v>
      </c>
      <c r="L49" s="3" t="s">
        <v>19</v>
      </c>
      <c r="M49" s="3" t="s">
        <v>231</v>
      </c>
      <c r="N49" s="3" t="s">
        <v>232</v>
      </c>
      <c r="O49" s="3" t="s">
        <v>233</v>
      </c>
    </row>
    <row r="50" spans="1:15" ht="29" x14ac:dyDescent="0.35">
      <c r="A50" s="33"/>
      <c r="B50" s="3">
        <v>10</v>
      </c>
      <c r="C50" s="8">
        <v>287599</v>
      </c>
      <c r="D50" s="4" t="s">
        <v>143</v>
      </c>
      <c r="E50" s="5" t="s">
        <v>234</v>
      </c>
      <c r="F50" s="3" t="s">
        <v>235</v>
      </c>
      <c r="G50" s="10">
        <v>35.65</v>
      </c>
      <c r="H50" s="3" t="s">
        <v>15</v>
      </c>
      <c r="I50" s="3" t="s">
        <v>236</v>
      </c>
      <c r="J50" s="3" t="s">
        <v>103</v>
      </c>
      <c r="K50" s="3"/>
      <c r="L50" s="3" t="s">
        <v>104</v>
      </c>
      <c r="M50" s="3"/>
      <c r="N50" s="3" t="s">
        <v>237</v>
      </c>
      <c r="O50" s="3" t="s">
        <v>238</v>
      </c>
    </row>
    <row r="51" spans="1:15" ht="21" x14ac:dyDescent="0.35">
      <c r="A51" s="33"/>
      <c r="B51" s="3">
        <v>11</v>
      </c>
      <c r="C51" s="8" t="s">
        <v>239</v>
      </c>
      <c r="D51" s="4" t="s">
        <v>36</v>
      </c>
      <c r="E51" s="5" t="s">
        <v>240</v>
      </c>
      <c r="F51" s="3" t="s">
        <v>241</v>
      </c>
      <c r="G51" s="10">
        <v>25</v>
      </c>
      <c r="H51" s="3" t="s">
        <v>20</v>
      </c>
      <c r="I51" s="3"/>
      <c r="J51" s="3"/>
      <c r="K51" s="3"/>
      <c r="L51" s="3" t="s">
        <v>104</v>
      </c>
      <c r="M51" s="3"/>
      <c r="N51" s="3" t="s">
        <v>242</v>
      </c>
      <c r="O51" s="3" t="e">
        <v>#N/A</v>
      </c>
    </row>
    <row r="52" spans="1:15" ht="29" x14ac:dyDescent="0.35">
      <c r="A52" s="33"/>
      <c r="B52" s="3">
        <v>12</v>
      </c>
      <c r="C52" s="8">
        <v>248616</v>
      </c>
      <c r="D52" s="4" t="s">
        <v>143</v>
      </c>
      <c r="E52" s="5" t="s">
        <v>243</v>
      </c>
      <c r="F52" s="3" t="s">
        <v>244</v>
      </c>
      <c r="G52" s="10">
        <v>120</v>
      </c>
      <c r="H52" s="3" t="s">
        <v>146</v>
      </c>
      <c r="I52" s="3" t="s">
        <v>245</v>
      </c>
      <c r="J52" s="3" t="s">
        <v>246</v>
      </c>
      <c r="K52" s="3"/>
      <c r="L52" s="3" t="s">
        <v>104</v>
      </c>
      <c r="M52" s="3"/>
      <c r="N52" s="3" t="s">
        <v>11</v>
      </c>
      <c r="O52" s="3" t="s">
        <v>12</v>
      </c>
    </row>
    <row r="53" spans="1:15" ht="29" x14ac:dyDescent="0.35">
      <c r="A53" s="33"/>
      <c r="B53" s="3">
        <v>13</v>
      </c>
      <c r="C53" s="8">
        <v>270798</v>
      </c>
      <c r="D53" s="4" t="s">
        <v>18</v>
      </c>
      <c r="E53" s="24" t="s">
        <v>247</v>
      </c>
      <c r="F53" s="3" t="s">
        <v>248</v>
      </c>
      <c r="G53" s="10">
        <v>27</v>
      </c>
      <c r="H53" s="3" t="s">
        <v>65</v>
      </c>
      <c r="I53" s="3" t="s">
        <v>249</v>
      </c>
      <c r="J53" s="3"/>
      <c r="K53" s="3"/>
      <c r="L53" s="3" t="s">
        <v>10</v>
      </c>
      <c r="M53" s="3"/>
      <c r="N53" s="3" t="s">
        <v>192</v>
      </c>
      <c r="O53" s="3">
        <v>0</v>
      </c>
    </row>
    <row r="54" spans="1:15" ht="15" thickBot="1" x14ac:dyDescent="0.4">
      <c r="G54" s="22">
        <f>SUM(G41:G53)</f>
        <v>673.7165</v>
      </c>
    </row>
    <row r="55" spans="1:15" ht="15" thickTop="1" x14ac:dyDescent="0.35"/>
  </sheetData>
  <mergeCells count="4">
    <mergeCell ref="A2:A7"/>
    <mergeCell ref="A11:A20"/>
    <mergeCell ref="A24:A36"/>
    <mergeCell ref="A41:A53"/>
  </mergeCells>
  <conditionalFormatting sqref="A11">
    <cfRule type="duplicateValues" dxfId="20" priority="15"/>
  </conditionalFormatting>
  <conditionalFormatting sqref="A24">
    <cfRule type="duplicateValues" dxfId="19" priority="7"/>
  </conditionalFormatting>
  <conditionalFormatting sqref="A41">
    <cfRule type="duplicateValues" dxfId="18" priority="2"/>
  </conditionalFormatting>
  <conditionalFormatting sqref="B2:B7">
    <cfRule type="duplicateValues" dxfId="17" priority="14"/>
  </conditionalFormatting>
  <conditionalFormatting sqref="B11:B20">
    <cfRule type="duplicateValues" dxfId="16" priority="13"/>
  </conditionalFormatting>
  <conditionalFormatting sqref="B24:B36">
    <cfRule type="duplicateValues" dxfId="15" priority="8"/>
  </conditionalFormatting>
  <conditionalFormatting sqref="B41:B53">
    <cfRule type="duplicateValues" dxfId="14" priority="3"/>
  </conditionalFormatting>
  <conditionalFormatting sqref="C1:C7">
    <cfRule type="duplicateValues" dxfId="13" priority="20"/>
  </conditionalFormatting>
  <conditionalFormatting sqref="C11:C20">
    <cfRule type="duplicateValues" dxfId="12" priority="18"/>
  </conditionalFormatting>
  <conditionalFormatting sqref="C23">
    <cfRule type="duplicateValues" dxfId="11" priority="9"/>
  </conditionalFormatting>
  <conditionalFormatting sqref="C24:C36">
    <cfRule type="duplicateValues" dxfId="10" priority="11"/>
  </conditionalFormatting>
  <conditionalFormatting sqref="C41:C53">
    <cfRule type="duplicateValues" dxfId="9" priority="5"/>
  </conditionalFormatting>
  <conditionalFormatting sqref="C40:O40">
    <cfRule type="duplicateValues" dxfId="8" priority="21"/>
  </conditionalFormatting>
  <conditionalFormatting sqref="C10:Q10">
    <cfRule type="duplicateValues" dxfId="7" priority="16"/>
  </conditionalFormatting>
  <conditionalFormatting sqref="E1:E7">
    <cfRule type="duplicateValues" dxfId="6" priority="19"/>
  </conditionalFormatting>
  <conditionalFormatting sqref="E11:E20">
    <cfRule type="duplicateValues" dxfId="5" priority="17"/>
  </conditionalFormatting>
  <conditionalFormatting sqref="E23:E36">
    <cfRule type="duplicateValues" dxfId="4" priority="10"/>
  </conditionalFormatting>
  <conditionalFormatting sqref="E41:E53">
    <cfRule type="duplicateValues" dxfId="3" priority="4"/>
  </conditionalFormatting>
  <conditionalFormatting sqref="S4">
    <cfRule type="duplicateValues" dxfId="2" priority="12"/>
  </conditionalFormatting>
  <conditionalFormatting sqref="S9">
    <cfRule type="duplicateValues" dxfId="1" priority="6"/>
  </conditionalFormatting>
  <conditionalFormatting sqref="S1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SST Involved WLA_02.07.24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Thakur2</dc:creator>
  <cp:lastModifiedBy>Chandrika Basak</cp:lastModifiedBy>
  <dcterms:created xsi:type="dcterms:W3CDTF">2015-06-05T18:17:20Z</dcterms:created>
  <dcterms:modified xsi:type="dcterms:W3CDTF">2025-11-28T05:37:00Z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331f486-f8b5-456b-a19a-dbe0d296c5fd_Enabled">
    <vt:lpwstr>true</vt:lpwstr>
  </property>
  <property fmtid="{D5CDD505-2E9C-101B-9397-08002B2CF9AE}" pid="3" name="MSIP_Label_7331f486-f8b5-456b-a19a-dbe0d296c5fd_SetDate">
    <vt:lpwstr>2024-07-25T05:12:16Z</vt:lpwstr>
  </property>
  <property fmtid="{D5CDD505-2E9C-101B-9397-08002B2CF9AE}" pid="4" name="MSIP_Label_7331f486-f8b5-456b-a19a-dbe0d296c5fd_Method">
    <vt:lpwstr>Privileged</vt:lpwstr>
  </property>
  <property fmtid="{D5CDD505-2E9C-101B-9397-08002B2CF9AE}" pid="5" name="MSIP_Label_7331f486-f8b5-456b-a19a-dbe0d296c5fd_Name">
    <vt:lpwstr>Company Confidential Internal Use</vt:lpwstr>
  </property>
  <property fmtid="{D5CDD505-2E9C-101B-9397-08002B2CF9AE}" pid="6" name="MSIP_Label_7331f486-f8b5-456b-a19a-dbe0d296c5fd_SiteId">
    <vt:lpwstr>edf442f5-b994-4c86-a131-b42b03a16c95</vt:lpwstr>
  </property>
  <property fmtid="{D5CDD505-2E9C-101B-9397-08002B2CF9AE}" pid="7" name="MSIP_Label_7331f486-f8b5-456b-a19a-dbe0d296c5fd_ActionId">
    <vt:lpwstr>1faaab8d-4a08-4db4-b398-566a84f2bd24</vt:lpwstr>
  </property>
  <property fmtid="{D5CDD505-2E9C-101B-9397-08002B2CF9AE}" pid="8" name="MSIP_Label_7331f486-f8b5-456b-a19a-dbe0d296c5fd_ContentBits">
    <vt:lpwstr>0</vt:lpwstr>
  </property>
</Properties>
</file>